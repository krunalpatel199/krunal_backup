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runa\Desktop\RISE (Excel)\"/>
    </mc:Choice>
  </mc:AlternateContent>
  <xr:revisionPtr revIDLastSave="0" documentId="13_ncr:1_{45B02D11-8014-487C-B97F-B2859EE5E6A8}" xr6:coauthVersionLast="47" xr6:coauthVersionMax="47" xr10:uidLastSave="{00000000-0000-0000-0000-000000000000}"/>
  <bookViews>
    <workbookView xWindow="-108" yWindow="-108" windowWidth="23256" windowHeight="12456" activeTab="1" xr2:uid="{437FD9B8-2BCC-42CD-AF25-17C7CADF35C3}"/>
  </bookViews>
  <sheets>
    <sheet name="1. VLOOKUP Basics" sheetId="1" r:id="rId1"/>
    <sheet name="2. H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  <c r="G6" i="1"/>
  <c r="G7" i="1"/>
  <c r="G8" i="1"/>
  <c r="I6" i="1"/>
  <c r="I7" i="1"/>
  <c r="I8" i="1"/>
  <c r="H6" i="1"/>
  <c r="H7" i="1"/>
  <c r="H8" i="1"/>
  <c r="I5" i="1"/>
  <c r="H5" i="1"/>
  <c r="G5" i="1"/>
  <c r="C14" i="2"/>
  <c r="C13" i="2"/>
  <c r="C12" i="2"/>
  <c r="G12" i="1"/>
  <c r="G13" i="1"/>
  <c r="G11" i="1"/>
</calcChain>
</file>

<file path=xl/sharedStrings.xml><?xml version="1.0" encoding="utf-8"?>
<sst xmlns="http://schemas.openxmlformats.org/spreadsheetml/2006/main" count="72" uniqueCount="50">
  <si>
    <t>EXCEL LOOKUP FUNCTIONS - LEVEL 1: VLOOKUP</t>
  </si>
  <si>
    <t>PRODUCT MASTER DATA</t>
  </si>
  <si>
    <t>VLOOKUP EXAMPLES</t>
  </si>
  <si>
    <t>Product ID</t>
  </si>
  <si>
    <t>Product Name</t>
  </si>
  <si>
    <t>Price (₹)</t>
  </si>
  <si>
    <t>Category</t>
  </si>
  <si>
    <t>Search ID</t>
  </si>
  <si>
    <t xml:space="preserve">Price </t>
  </si>
  <si>
    <t>P001</t>
  </si>
  <si>
    <t>Laptop Dell</t>
  </si>
  <si>
    <t>Electronics</t>
  </si>
  <si>
    <t>P003</t>
  </si>
  <si>
    <t>P002</t>
  </si>
  <si>
    <t>Mouse Logitech</t>
  </si>
  <si>
    <t>Accessories</t>
  </si>
  <si>
    <t>P006</t>
  </si>
  <si>
    <t>Keyboard HP</t>
  </si>
  <si>
    <t>P004</t>
  </si>
  <si>
    <t>Monitor Samsung</t>
  </si>
  <si>
    <t>P008</t>
  </si>
  <si>
    <t>P005</t>
  </si>
  <si>
    <t>Webcam HD</t>
  </si>
  <si>
    <t>Headphones Sony</t>
  </si>
  <si>
    <t>Audio</t>
  </si>
  <si>
    <t>Price</t>
  </si>
  <si>
    <t>P007</t>
  </si>
  <si>
    <t>Printer Canon</t>
  </si>
  <si>
    <t>USB Drive 32GB</t>
  </si>
  <si>
    <t>Storage</t>
  </si>
  <si>
    <t>VLOOKUP(lookup_value, table_array, col_index_num, [range_lookup])</t>
  </si>
  <si>
    <t>FALSE = Exact Match | TRUE = Approximate Match | Column index starts from 1</t>
  </si>
  <si>
    <t>LEVEL 2: HLOOKUP - HORIZONTAL LOOKUP</t>
  </si>
  <si>
    <t>MONTHLY SALES DATA (Horizontal Format)</t>
  </si>
  <si>
    <t>Month</t>
  </si>
  <si>
    <t>Jan</t>
  </si>
  <si>
    <t>Feb</t>
  </si>
  <si>
    <t>Mar</t>
  </si>
  <si>
    <t>Apr</t>
  </si>
  <si>
    <t>May</t>
  </si>
  <si>
    <t>Jun</t>
  </si>
  <si>
    <t>Revenue</t>
  </si>
  <si>
    <t>Expenses</t>
  </si>
  <si>
    <t>Profit</t>
  </si>
  <si>
    <t>HLOOKUP EXAMPLES</t>
  </si>
  <si>
    <t>Month to Search</t>
  </si>
  <si>
    <t>Row to Return</t>
  </si>
  <si>
    <t>Result</t>
  </si>
  <si>
    <t>HLOOKUP(lookup_value, table_array, row_index_num, [range_lookup])</t>
  </si>
  <si>
    <t>Use HLOOKUP when data is arranged in rows instead of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</si>
</sst>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b/>
      <sz val="12"/>
      <name val="Cambria"/>
      <charset val="1"/>
    </font>
    <font>
      <b/>
      <sz val="11"/>
      <name val="Cambria"/>
      <charset val="1"/>
    </font>
    <font>
      <b/>
      <i/>
      <sz val="11"/>
      <color rgb="FFFF0000"/>
      <name val="Cambria"/>
      <charset val="1"/>
    </font>
    <font>
      <b/>
      <i/>
      <sz val="11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E4DFEC"/>
      </patternFill>
    </fill>
    <fill>
      <patternFill patternType="solid">
        <fgColor rgb="FFFFF2CC"/>
        <bgColor rgb="FFFCE4D6"/>
      </patternFill>
    </fill>
    <fill>
      <patternFill patternType="solid">
        <fgColor rgb="FF70AD47"/>
        <bgColor rgb="FF99CC00"/>
      </patternFill>
    </fill>
    <fill>
      <patternFill patternType="solid">
        <fgColor rgb="FFE2EFDA"/>
        <bgColor rgb="FFECF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0" xfId="0" applyFont="1" applyFill="1"/>
    <xf numFmtId="0" fontId="3" fillId="4" borderId="0" xfId="0" applyFont="1" applyFill="1"/>
    <xf numFmtId="0" fontId="3" fillId="6" borderId="0" xfId="0" applyFont="1" applyFill="1"/>
    <xf numFmtId="0" fontId="1" fillId="5" borderId="0" xfId="0" applyFont="1" applyFill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F4CF-30E0-414B-9612-F76AC0AD630B}">
  <dimension ref="A1:I15"/>
  <sheetViews>
    <sheetView zoomScaleNormal="100" workbookViewId="0">
      <selection activeCell="H11" sqref="H11"/>
    </sheetView>
  </sheetViews>
  <sheetFormatPr defaultColWidth="8.6640625" defaultRowHeight="14.4" x14ac:dyDescent="0.3"/>
  <cols>
    <col min="1" max="1" width="12" customWidth="1"/>
    <col min="2" max="2" width="18" customWidth="1"/>
    <col min="3" max="3" width="12" customWidth="1"/>
    <col min="4" max="4" width="15" customWidth="1"/>
    <col min="6" max="6" width="12" customWidth="1"/>
    <col min="7" max="7" width="20" customWidth="1"/>
    <col min="8" max="8" width="11.77734375" customWidth="1"/>
  </cols>
  <sheetData>
    <row r="1" spans="1:9" ht="17.399999999999999" x14ac:dyDescent="0.3">
      <c r="A1" s="9" t="s">
        <v>0</v>
      </c>
      <c r="B1" s="9"/>
      <c r="C1" s="9"/>
      <c r="D1" s="9"/>
      <c r="E1" s="9"/>
      <c r="F1" s="9"/>
      <c r="G1" s="9"/>
    </row>
    <row r="3" spans="1:9" ht="15.6" x14ac:dyDescent="0.3">
      <c r="A3" s="10" t="s">
        <v>1</v>
      </c>
      <c r="B3" s="10"/>
      <c r="C3" s="10"/>
      <c r="D3" s="10"/>
      <c r="F3" s="11" t="s">
        <v>2</v>
      </c>
      <c r="G3" s="11"/>
    </row>
    <row r="4" spans="1:9" x14ac:dyDescent="0.3">
      <c r="A4" s="1" t="s">
        <v>3</v>
      </c>
      <c r="B4" s="1" t="s">
        <v>4</v>
      </c>
      <c r="C4" s="1" t="s">
        <v>5</v>
      </c>
      <c r="D4" s="1" t="s">
        <v>6</v>
      </c>
      <c r="F4" s="2" t="s">
        <v>7</v>
      </c>
      <c r="G4" s="2" t="s">
        <v>4</v>
      </c>
      <c r="H4" t="s">
        <v>8</v>
      </c>
      <c r="I4" t="s">
        <v>6</v>
      </c>
    </row>
    <row r="5" spans="1:9" x14ac:dyDescent="0.3">
      <c r="A5" t="s">
        <v>9</v>
      </c>
      <c r="B5" t="s">
        <v>10</v>
      </c>
      <c r="C5">
        <v>45000</v>
      </c>
      <c r="D5" t="s">
        <v>11</v>
      </c>
      <c r="F5" t="s">
        <v>12</v>
      </c>
      <c r="G5" t="str">
        <f>VLOOKUP(F5,$A$4:$D$12,2,0)</f>
        <v>Keyboard HP</v>
      </c>
      <c r="H5">
        <f>VLOOKUP(F5,$A$4:$D$12,3,0)</f>
        <v>1200</v>
      </c>
      <c r="I5" t="str">
        <f>VLOOKUP(F5,$A$4:$D$12,4,0)</f>
        <v>Accessories</v>
      </c>
    </row>
    <row r="6" spans="1:9" x14ac:dyDescent="0.3">
      <c r="A6" t="s">
        <v>13</v>
      </c>
      <c r="B6" t="s">
        <v>14</v>
      </c>
      <c r="C6">
        <v>500</v>
      </c>
      <c r="D6" t="s">
        <v>15</v>
      </c>
      <c r="F6" t="s">
        <v>16</v>
      </c>
      <c r="G6" t="str">
        <f t="shared" ref="G6:G8" si="0">VLOOKUP(F6,$A$4:$D$12,2,0)</f>
        <v>Headphones Sony</v>
      </c>
      <c r="H6">
        <f t="shared" ref="H6:H8" si="1">VLOOKUP(F6,$A$4:$D$12,3,0)</f>
        <v>3000</v>
      </c>
      <c r="I6" t="str">
        <f t="shared" ref="I6:I8" si="2">VLOOKUP(F6,$A$4:$D$12,4,0)</f>
        <v>Audio</v>
      </c>
    </row>
    <row r="7" spans="1:9" x14ac:dyDescent="0.3">
      <c r="A7" t="s">
        <v>12</v>
      </c>
      <c r="B7" t="s">
        <v>17</v>
      </c>
      <c r="C7">
        <v>1200</v>
      </c>
      <c r="D7" t="s">
        <v>15</v>
      </c>
      <c r="F7" t="s">
        <v>9</v>
      </c>
      <c r="G7" t="str">
        <f t="shared" si="0"/>
        <v>Laptop Dell</v>
      </c>
      <c r="H7">
        <f t="shared" si="1"/>
        <v>45000</v>
      </c>
      <c r="I7" t="str">
        <f t="shared" si="2"/>
        <v>Electronics</v>
      </c>
    </row>
    <row r="8" spans="1:9" x14ac:dyDescent="0.3">
      <c r="A8" t="s">
        <v>18</v>
      </c>
      <c r="B8" t="s">
        <v>19</v>
      </c>
      <c r="C8">
        <v>12000</v>
      </c>
      <c r="D8" t="s">
        <v>11</v>
      </c>
      <c r="F8" t="s">
        <v>20</v>
      </c>
      <c r="G8" t="str">
        <f t="shared" si="0"/>
        <v>USB Drive 32GB</v>
      </c>
      <c r="H8">
        <f t="shared" si="1"/>
        <v>450</v>
      </c>
      <c r="I8" t="str">
        <f t="shared" si="2"/>
        <v>Storage</v>
      </c>
    </row>
    <row r="9" spans="1:9" x14ac:dyDescent="0.3">
      <c r="A9" t="s">
        <v>21</v>
      </c>
      <c r="B9" t="s">
        <v>22</v>
      </c>
      <c r="C9">
        <v>2500</v>
      </c>
      <c r="D9" t="s">
        <v>15</v>
      </c>
    </row>
    <row r="10" spans="1:9" x14ac:dyDescent="0.3">
      <c r="A10" t="s">
        <v>16</v>
      </c>
      <c r="B10" t="s">
        <v>23</v>
      </c>
      <c r="C10">
        <v>3000</v>
      </c>
      <c r="D10" t="s">
        <v>24</v>
      </c>
      <c r="F10" s="2" t="s">
        <v>7</v>
      </c>
      <c r="G10" s="2" t="s">
        <v>25</v>
      </c>
    </row>
    <row r="11" spans="1:9" x14ac:dyDescent="0.3">
      <c r="A11" t="s">
        <v>26</v>
      </c>
      <c r="B11" t="s">
        <v>27</v>
      </c>
      <c r="C11">
        <v>8500</v>
      </c>
      <c r="D11" t="s">
        <v>11</v>
      </c>
      <c r="F11" t="s">
        <v>13</v>
      </c>
      <c r="G11">
        <f>VLOOKUP(F11,$A$4:$C$12,3,0)</f>
        <v>500</v>
      </c>
    </row>
    <row r="12" spans="1:9" x14ac:dyDescent="0.3">
      <c r="A12" t="s">
        <v>20</v>
      </c>
      <c r="B12" t="s">
        <v>28</v>
      </c>
      <c r="C12">
        <v>450</v>
      </c>
      <c r="D12" t="s">
        <v>29</v>
      </c>
      <c r="F12" t="s">
        <v>26</v>
      </c>
      <c r="G12">
        <f t="shared" ref="G12:G13" si="3">VLOOKUP(F12,$A$4:$C$12,3,0)</f>
        <v>8500</v>
      </c>
    </row>
    <row r="13" spans="1:9" x14ac:dyDescent="0.3">
      <c r="F13" t="s">
        <v>18</v>
      </c>
      <c r="G13">
        <f t="shared" si="3"/>
        <v>12000</v>
      </c>
    </row>
    <row r="14" spans="1:9" x14ac:dyDescent="0.3">
      <c r="A14" s="7" t="s">
        <v>30</v>
      </c>
      <c r="B14" s="7"/>
      <c r="C14" s="7"/>
      <c r="D14" s="7"/>
      <c r="E14" s="7"/>
      <c r="F14" s="7"/>
      <c r="G14" s="7"/>
    </row>
    <row r="15" spans="1:9" x14ac:dyDescent="0.3">
      <c r="A15" s="8" t="s">
        <v>31</v>
      </c>
      <c r="B15" s="8"/>
      <c r="C15" s="8"/>
      <c r="D15" s="8"/>
      <c r="E15" s="8"/>
      <c r="F15" s="8"/>
      <c r="G15" s="8"/>
    </row>
  </sheetData>
  <mergeCells count="5">
    <mergeCell ref="A1:G1"/>
    <mergeCell ref="A3:D3"/>
    <mergeCell ref="F3:G3"/>
    <mergeCell ref="A14:G14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A98B-109D-4F7C-B81E-204E06F0CA67}">
  <dimension ref="A1:G17"/>
  <sheetViews>
    <sheetView tabSelected="1" zoomScaleNormal="100" workbookViewId="0">
      <selection activeCell="C12" sqref="C12"/>
    </sheetView>
  </sheetViews>
  <sheetFormatPr defaultColWidth="8.6640625" defaultRowHeight="14.4" x14ac:dyDescent="0.3"/>
  <cols>
    <col min="1" max="2" width="18" customWidth="1"/>
    <col min="3" max="3" width="15" customWidth="1"/>
  </cols>
  <sheetData>
    <row r="1" spans="1:7" ht="17.399999999999999" x14ac:dyDescent="0.3">
      <c r="A1" s="4" t="s">
        <v>32</v>
      </c>
      <c r="B1" s="4"/>
      <c r="C1" s="4"/>
      <c r="D1" s="4"/>
      <c r="E1" s="4"/>
      <c r="F1" s="4"/>
      <c r="G1" s="4"/>
    </row>
    <row r="3" spans="1:7" ht="15.6" x14ac:dyDescent="0.3">
      <c r="A3" s="5" t="s">
        <v>33</v>
      </c>
      <c r="B3" s="5"/>
      <c r="C3" s="5"/>
      <c r="D3" s="5"/>
      <c r="E3" s="5"/>
      <c r="F3" s="5"/>
      <c r="G3" s="5"/>
    </row>
    <row r="4" spans="1:7" x14ac:dyDescent="0.3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</row>
    <row r="5" spans="1:7" x14ac:dyDescent="0.3">
      <c r="A5" t="s">
        <v>41</v>
      </c>
      <c r="B5">
        <v>150000</v>
      </c>
      <c r="C5">
        <v>165000</v>
      </c>
      <c r="D5">
        <v>180000</v>
      </c>
      <c r="E5">
        <v>175000</v>
      </c>
      <c r="F5">
        <v>190000</v>
      </c>
      <c r="G5">
        <v>200000</v>
      </c>
    </row>
    <row r="6" spans="1:7" x14ac:dyDescent="0.3">
      <c r="A6" t="s">
        <v>42</v>
      </c>
      <c r="B6">
        <v>90000</v>
      </c>
      <c r="C6">
        <v>95000</v>
      </c>
      <c r="D6">
        <v>100000</v>
      </c>
      <c r="E6">
        <v>98000</v>
      </c>
      <c r="F6">
        <v>105000</v>
      </c>
      <c r="G6">
        <v>110000</v>
      </c>
    </row>
    <row r="7" spans="1:7" x14ac:dyDescent="0.3">
      <c r="A7" t="s">
        <v>43</v>
      </c>
      <c r="B7">
        <v>60000</v>
      </c>
      <c r="C7">
        <v>70000</v>
      </c>
      <c r="D7">
        <v>80000</v>
      </c>
      <c r="E7">
        <v>77000</v>
      </c>
      <c r="F7">
        <v>85000</v>
      </c>
      <c r="G7">
        <v>90000</v>
      </c>
    </row>
    <row r="9" spans="1:7" ht="15.6" x14ac:dyDescent="0.3">
      <c r="A9" s="6" t="s">
        <v>44</v>
      </c>
      <c r="B9" s="6"/>
      <c r="C9" s="6"/>
    </row>
    <row r="10" spans="1:7" x14ac:dyDescent="0.3">
      <c r="A10" s="3" t="s">
        <v>45</v>
      </c>
      <c r="B10" s="3" t="s">
        <v>46</v>
      </c>
      <c r="C10" s="3" t="s">
        <v>47</v>
      </c>
    </row>
    <row r="11" spans="1:7" x14ac:dyDescent="0.3">
      <c r="A11" t="s">
        <v>37</v>
      </c>
      <c r="B11" t="s">
        <v>41</v>
      </c>
      <c r="C11">
        <f>HLOOKUP(A11,$A$4:$G$7,2,0)</f>
        <v>180000</v>
      </c>
    </row>
    <row r="12" spans="1:7" x14ac:dyDescent="0.3">
      <c r="A12" t="s">
        <v>39</v>
      </c>
      <c r="B12" t="s">
        <v>42</v>
      </c>
      <c r="C12">
        <f>HLOOKUP(A12,$A$4:$G$7,3,0)</f>
        <v>105000</v>
      </c>
    </row>
    <row r="13" spans="1:7" x14ac:dyDescent="0.3">
      <c r="A13" t="s">
        <v>35</v>
      </c>
      <c r="B13" t="s">
        <v>43</v>
      </c>
      <c r="C13">
        <f>HLOOKUP(A13,$A$4:$G$7,4,0)</f>
        <v>60000</v>
      </c>
    </row>
    <row r="14" spans="1:7" x14ac:dyDescent="0.3">
      <c r="A14" t="s">
        <v>40</v>
      </c>
      <c r="B14" t="s">
        <v>41</v>
      </c>
      <c r="C14">
        <f>HLOOKUP(A14,$A$4:$G$7,2,0)</f>
        <v>200000</v>
      </c>
    </row>
    <row r="16" spans="1:7" x14ac:dyDescent="0.3">
      <c r="A16" s="7" t="s">
        <v>48</v>
      </c>
      <c r="B16" s="7"/>
      <c r="C16" s="7"/>
      <c r="D16" s="7"/>
      <c r="E16" s="7"/>
      <c r="F16" s="7"/>
      <c r="G16" s="7"/>
    </row>
    <row r="17" spans="1:7" x14ac:dyDescent="0.3">
      <c r="A17" s="8" t="s">
        <v>49</v>
      </c>
      <c r="B17" s="8"/>
      <c r="C17" s="8"/>
      <c r="D17" s="8"/>
      <c r="E17" s="8"/>
      <c r="F17" s="8"/>
      <c r="G17" s="8"/>
    </row>
  </sheetData>
  <mergeCells count="5">
    <mergeCell ref="A1:G1"/>
    <mergeCell ref="A3:G3"/>
    <mergeCell ref="A9:C9"/>
    <mergeCell ref="A16:G16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VLOOKUP Basics</vt:lpstr>
      <vt:lpstr>2. 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Jaimin Rabari</dc:creator>
  <cp:lastModifiedBy>krunal patel</cp:lastModifiedBy>
  <dcterms:created xsi:type="dcterms:W3CDTF">2026-03-18T05:16:26Z</dcterms:created>
  <dcterms:modified xsi:type="dcterms:W3CDTF">2026-03-18T05:46:01Z</dcterms:modified>
</cp:coreProperties>
</file>