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13_ncr:1_{603CAC29-EBAE-4D95-B89F-8F5418A75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Z3" i="1" l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2" i="1"/>
  <c r="DM2" i="1"/>
  <c r="DW3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2" i="1"/>
  <c r="EJ3" i="1"/>
  <c r="EJ4" i="1"/>
  <c r="EJ5" i="1"/>
  <c r="EJ6" i="1"/>
  <c r="EJ7" i="1"/>
  <c r="EJ8" i="1"/>
  <c r="EJ9" i="1"/>
  <c r="EJ10" i="1"/>
  <c r="EJ11" i="1"/>
  <c r="EJ12" i="1"/>
  <c r="EJ13" i="1"/>
  <c r="EJ14" i="1"/>
  <c r="EJ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2" i="1"/>
  <c r="EI3" i="1"/>
  <c r="EI4" i="1"/>
  <c r="EI5" i="1"/>
  <c r="EI6" i="1"/>
  <c r="EI7" i="1"/>
  <c r="EI8" i="1"/>
  <c r="EI9" i="1"/>
  <c r="EI10" i="1"/>
  <c r="EI11" i="1"/>
  <c r="EI12" i="1"/>
  <c r="EI13" i="1"/>
  <c r="EI14" i="1"/>
  <c r="EI15" i="1"/>
  <c r="EI16" i="1"/>
  <c r="EI17" i="1"/>
  <c r="EI18" i="1"/>
  <c r="EI19" i="1"/>
  <c r="EI20" i="1"/>
  <c r="EI21" i="1"/>
  <c r="EI22" i="1"/>
  <c r="EI23" i="1"/>
  <c r="EI24" i="1"/>
  <c r="EI25" i="1"/>
  <c r="EI26" i="1"/>
  <c r="EI27" i="1"/>
  <c r="EI28" i="1"/>
  <c r="EI29" i="1"/>
  <c r="EI30" i="1"/>
  <c r="EI31" i="1"/>
  <c r="EI32" i="1"/>
  <c r="EI33" i="1"/>
  <c r="EI34" i="1"/>
  <c r="EI35" i="1"/>
  <c r="EI36" i="1"/>
  <c r="EI37" i="1"/>
  <c r="EI38" i="1"/>
  <c r="EI39" i="1"/>
  <c r="EI40" i="1"/>
  <c r="EI41" i="1"/>
  <c r="EI42" i="1"/>
  <c r="EI43" i="1"/>
  <c r="EI44" i="1"/>
  <c r="EI45" i="1"/>
  <c r="EI46" i="1"/>
  <c r="EI47" i="1"/>
  <c r="EI48" i="1"/>
  <c r="EI49" i="1"/>
  <c r="EI50" i="1"/>
  <c r="EI51" i="1"/>
  <c r="EI52" i="1"/>
  <c r="EI53" i="1"/>
  <c r="EI54" i="1"/>
  <c r="EI55" i="1"/>
  <c r="EI56" i="1"/>
  <c r="EI57" i="1"/>
  <c r="EI58" i="1"/>
  <c r="EI59" i="1"/>
  <c r="EI60" i="1"/>
  <c r="EI61" i="1"/>
  <c r="EI62" i="1"/>
  <c r="EI63" i="1"/>
  <c r="EI64" i="1"/>
  <c r="EI65" i="1"/>
  <c r="EI66" i="1"/>
  <c r="EI67" i="1"/>
  <c r="EI68" i="1"/>
  <c r="EI69" i="1"/>
  <c r="EI70" i="1"/>
  <c r="EI71" i="1"/>
  <c r="EI72" i="1"/>
  <c r="EI73" i="1"/>
  <c r="EI74" i="1"/>
  <c r="EI75" i="1"/>
  <c r="EI76" i="1"/>
  <c r="EI77" i="1"/>
  <c r="EI78" i="1"/>
  <c r="EI79" i="1"/>
  <c r="EI80" i="1"/>
  <c r="EI81" i="1"/>
  <c r="EI82" i="1"/>
  <c r="EI83" i="1"/>
  <c r="EI84" i="1"/>
  <c r="EI85" i="1"/>
  <c r="EI86" i="1"/>
  <c r="EI87" i="1"/>
  <c r="EI88" i="1"/>
  <c r="EI89" i="1"/>
  <c r="EI90" i="1"/>
  <c r="EI91" i="1"/>
  <c r="EI92" i="1"/>
  <c r="EI93" i="1"/>
  <c r="EI94" i="1"/>
  <c r="EI95" i="1"/>
  <c r="EI96" i="1"/>
  <c r="EI97" i="1"/>
  <c r="EI98" i="1"/>
  <c r="EI99" i="1"/>
  <c r="EI100" i="1"/>
  <c r="EI101" i="1"/>
  <c r="EI2" i="1"/>
  <c r="EG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2" i="1"/>
  <c r="EH3" i="1"/>
  <c r="EH4" i="1"/>
  <c r="EH5" i="1"/>
  <c r="EH6" i="1"/>
  <c r="EH7" i="1"/>
  <c r="EH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2" i="1"/>
  <c r="EE3" i="1"/>
  <c r="EE4" i="1"/>
  <c r="EE5" i="1"/>
  <c r="EE6" i="1"/>
  <c r="EE7" i="1"/>
  <c r="EE8" i="1"/>
  <c r="EE9" i="1"/>
  <c r="EE10" i="1"/>
  <c r="EE11" i="1"/>
  <c r="EE12" i="1"/>
  <c r="EE13" i="1"/>
  <c r="EE14" i="1"/>
  <c r="EE15" i="1"/>
  <c r="EE16" i="1"/>
  <c r="EE17" i="1"/>
  <c r="EE18" i="1"/>
  <c r="EE19" i="1"/>
  <c r="EE20" i="1"/>
  <c r="EE21" i="1"/>
  <c r="EE22" i="1"/>
  <c r="EE23" i="1"/>
  <c r="EE24" i="1"/>
  <c r="EE25" i="1"/>
  <c r="EE26" i="1"/>
  <c r="EE27" i="1"/>
  <c r="EE28" i="1"/>
  <c r="EE29" i="1"/>
  <c r="EE30" i="1"/>
  <c r="EE31" i="1"/>
  <c r="EE32" i="1"/>
  <c r="EE33" i="1"/>
  <c r="EE34" i="1"/>
  <c r="EE35" i="1"/>
  <c r="EE36" i="1"/>
  <c r="EE37" i="1"/>
  <c r="EE38" i="1"/>
  <c r="EE39" i="1"/>
  <c r="EE40" i="1"/>
  <c r="EE41" i="1"/>
  <c r="EE42" i="1"/>
  <c r="EE43" i="1"/>
  <c r="EE44" i="1"/>
  <c r="EE45" i="1"/>
  <c r="EE46" i="1"/>
  <c r="EE47" i="1"/>
  <c r="EE48" i="1"/>
  <c r="EE49" i="1"/>
  <c r="EE50" i="1"/>
  <c r="EE51" i="1"/>
  <c r="EE52" i="1"/>
  <c r="EE53" i="1"/>
  <c r="EE54" i="1"/>
  <c r="EE55" i="1"/>
  <c r="EE56" i="1"/>
  <c r="EE57" i="1"/>
  <c r="EE58" i="1"/>
  <c r="EE59" i="1"/>
  <c r="EE60" i="1"/>
  <c r="EE61" i="1"/>
  <c r="EE62" i="1"/>
  <c r="EE63" i="1"/>
  <c r="EE64" i="1"/>
  <c r="EE65" i="1"/>
  <c r="EE66" i="1"/>
  <c r="EE67" i="1"/>
  <c r="EE68" i="1"/>
  <c r="EE69" i="1"/>
  <c r="EE70" i="1"/>
  <c r="EE71" i="1"/>
  <c r="EE72" i="1"/>
  <c r="EE73" i="1"/>
  <c r="EE74" i="1"/>
  <c r="EE75" i="1"/>
  <c r="EE76" i="1"/>
  <c r="EE77" i="1"/>
  <c r="EE78" i="1"/>
  <c r="EE79" i="1"/>
  <c r="EE80" i="1"/>
  <c r="EE81" i="1"/>
  <c r="EE82" i="1"/>
  <c r="EE83" i="1"/>
  <c r="EE84" i="1"/>
  <c r="EE85" i="1"/>
  <c r="EE86" i="1"/>
  <c r="EE87" i="1"/>
  <c r="EE88" i="1"/>
  <c r="EE89" i="1"/>
  <c r="EE90" i="1"/>
  <c r="EE91" i="1"/>
  <c r="EE92" i="1"/>
  <c r="EE93" i="1"/>
  <c r="EE94" i="1"/>
  <c r="EE95" i="1"/>
  <c r="EE96" i="1"/>
  <c r="EE97" i="1"/>
  <c r="EE98" i="1"/>
  <c r="EE99" i="1"/>
  <c r="EE100" i="1"/>
  <c r="EE101" i="1"/>
  <c r="EE2" i="1"/>
  <c r="ED3" i="1"/>
  <c r="ED4" i="1"/>
  <c r="ED5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62" i="1"/>
  <c r="ED63" i="1"/>
  <c r="ED64" i="1"/>
  <c r="ED65" i="1"/>
  <c r="ED66" i="1"/>
  <c r="ED67" i="1"/>
  <c r="ED68" i="1"/>
  <c r="ED69" i="1"/>
  <c r="ED70" i="1"/>
  <c r="ED71" i="1"/>
  <c r="ED72" i="1"/>
  <c r="ED73" i="1"/>
  <c r="ED74" i="1"/>
  <c r="ED75" i="1"/>
  <c r="ED76" i="1"/>
  <c r="ED77" i="1"/>
  <c r="ED78" i="1"/>
  <c r="ED79" i="1"/>
  <c r="ED80" i="1"/>
  <c r="ED81" i="1"/>
  <c r="ED82" i="1"/>
  <c r="ED83" i="1"/>
  <c r="ED84" i="1"/>
  <c r="ED85" i="1"/>
  <c r="ED86" i="1"/>
  <c r="ED87" i="1"/>
  <c r="ED88" i="1"/>
  <c r="ED89" i="1"/>
  <c r="ED90" i="1"/>
  <c r="ED91" i="1"/>
  <c r="ED92" i="1"/>
  <c r="ED93" i="1"/>
  <c r="ED94" i="1"/>
  <c r="ED95" i="1"/>
  <c r="ED96" i="1"/>
  <c r="ED97" i="1"/>
  <c r="ED98" i="1"/>
  <c r="ED99" i="1"/>
  <c r="ED100" i="1"/>
  <c r="ED101" i="1"/>
  <c r="ED2" i="1"/>
  <c r="EC3" i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4" i="1"/>
  <c r="EC35" i="1"/>
  <c r="EC36" i="1"/>
  <c r="EC37" i="1"/>
  <c r="EC38" i="1"/>
  <c r="EC39" i="1"/>
  <c r="EC40" i="1"/>
  <c r="EC41" i="1"/>
  <c r="EC42" i="1"/>
  <c r="EC43" i="1"/>
  <c r="EC44" i="1"/>
  <c r="EC45" i="1"/>
  <c r="EC46" i="1"/>
  <c r="EC47" i="1"/>
  <c r="EC48" i="1"/>
  <c r="EC49" i="1"/>
  <c r="EC50" i="1"/>
  <c r="EC51" i="1"/>
  <c r="EC52" i="1"/>
  <c r="EC53" i="1"/>
  <c r="EC54" i="1"/>
  <c r="EC55" i="1"/>
  <c r="EC56" i="1"/>
  <c r="EC57" i="1"/>
  <c r="EC58" i="1"/>
  <c r="EC59" i="1"/>
  <c r="EC60" i="1"/>
  <c r="EC61" i="1"/>
  <c r="EC62" i="1"/>
  <c r="EC63" i="1"/>
  <c r="EC64" i="1"/>
  <c r="EC65" i="1"/>
  <c r="EC66" i="1"/>
  <c r="EC67" i="1"/>
  <c r="EC68" i="1"/>
  <c r="EC69" i="1"/>
  <c r="EC70" i="1"/>
  <c r="EC71" i="1"/>
  <c r="EC72" i="1"/>
  <c r="EC73" i="1"/>
  <c r="EC74" i="1"/>
  <c r="EC75" i="1"/>
  <c r="EC76" i="1"/>
  <c r="EC77" i="1"/>
  <c r="EC78" i="1"/>
  <c r="EC79" i="1"/>
  <c r="EC80" i="1"/>
  <c r="EC81" i="1"/>
  <c r="EC82" i="1"/>
  <c r="EC83" i="1"/>
  <c r="EC84" i="1"/>
  <c r="EC85" i="1"/>
  <c r="EC86" i="1"/>
  <c r="EC87" i="1"/>
  <c r="EC88" i="1"/>
  <c r="EC89" i="1"/>
  <c r="EC90" i="1"/>
  <c r="EC91" i="1"/>
  <c r="EC92" i="1"/>
  <c r="EC93" i="1"/>
  <c r="EC94" i="1"/>
  <c r="EC95" i="1"/>
  <c r="EC96" i="1"/>
  <c r="EC97" i="1"/>
  <c r="EC98" i="1"/>
  <c r="EC99" i="1"/>
  <c r="EC100" i="1"/>
  <c r="EC101" i="1"/>
  <c r="EC2" i="1"/>
  <c r="EB3" i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1" i="1"/>
  <c r="EB62" i="1"/>
  <c r="EB63" i="1"/>
  <c r="EB64" i="1"/>
  <c r="EB65" i="1"/>
  <c r="EB66" i="1"/>
  <c r="EB67" i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EB81" i="1"/>
  <c r="EB82" i="1"/>
  <c r="EB83" i="1"/>
  <c r="EB84" i="1"/>
  <c r="EB85" i="1"/>
  <c r="EB86" i="1"/>
  <c r="EB87" i="1"/>
  <c r="EB88" i="1"/>
  <c r="EB89" i="1"/>
  <c r="EB90" i="1"/>
  <c r="EB91" i="1"/>
  <c r="EB92" i="1"/>
  <c r="EB93" i="1"/>
  <c r="EB94" i="1"/>
  <c r="EB95" i="1"/>
  <c r="EB96" i="1"/>
  <c r="EB97" i="1"/>
  <c r="EB98" i="1"/>
  <c r="EB99" i="1"/>
  <c r="EB100" i="1"/>
  <c r="EB101" i="1"/>
  <c r="EB2" i="1"/>
  <c r="EA3" i="1"/>
  <c r="EA4" i="1"/>
  <c r="EA5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2" i="1"/>
  <c r="DZ3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2" i="1"/>
  <c r="DY3" i="1"/>
  <c r="DY4" i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2" i="1"/>
  <c r="DX3" i="1"/>
  <c r="DX4" i="1"/>
  <c r="DX5" i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51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71" i="1"/>
  <c r="DX72" i="1"/>
  <c r="DX73" i="1"/>
  <c r="DX74" i="1"/>
  <c r="DX75" i="1"/>
  <c r="DX76" i="1"/>
  <c r="DX77" i="1"/>
  <c r="DX78" i="1"/>
  <c r="DX79" i="1"/>
  <c r="DX80" i="1"/>
  <c r="DX81" i="1"/>
  <c r="DX82" i="1"/>
  <c r="DX83" i="1"/>
  <c r="DX84" i="1"/>
  <c r="DX85" i="1"/>
  <c r="DX86" i="1"/>
  <c r="DX87" i="1"/>
  <c r="DX88" i="1"/>
  <c r="DX89" i="1"/>
  <c r="DX90" i="1"/>
  <c r="DX91" i="1"/>
  <c r="DX92" i="1"/>
  <c r="DX93" i="1"/>
  <c r="DX94" i="1"/>
  <c r="DX95" i="1"/>
  <c r="DX96" i="1"/>
  <c r="DX97" i="1"/>
  <c r="DX98" i="1"/>
  <c r="DX99" i="1"/>
  <c r="DX100" i="1"/>
  <c r="DX101" i="1"/>
  <c r="DX2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2" i="1"/>
  <c r="DU3" i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2" i="1"/>
  <c r="DT3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T81" i="1"/>
  <c r="DT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2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2" i="1"/>
  <c r="DR3" i="1"/>
  <c r="DR4" i="1"/>
  <c r="DR5" i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2" i="1"/>
  <c r="DQ3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2" i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2" i="1"/>
  <c r="DO3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01" i="1"/>
  <c r="DO2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2" i="1"/>
  <c r="DM3" i="1"/>
  <c r="DM4" i="1"/>
  <c r="DM5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L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2" i="1"/>
  <c r="DJ3" i="1"/>
  <c r="DJ4" i="1"/>
  <c r="DJ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2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2" i="1"/>
  <c r="DC3" i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2" i="1"/>
  <c r="CX3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2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2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2" i="1"/>
  <c r="CU3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2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2" i="1"/>
  <c r="CS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2" i="1"/>
  <c r="CR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2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2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2" i="1"/>
  <c r="CO3" i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2" i="1"/>
  <c r="CN3" i="1"/>
  <c r="CN4" i="1"/>
  <c r="CN5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2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2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X3" i="1"/>
  <c r="BK3" i="1" s="1"/>
  <c r="X4" i="1"/>
  <c r="BK4" i="1" s="1"/>
  <c r="X5" i="1"/>
  <c r="BK5" i="1" s="1"/>
  <c r="X6" i="1"/>
  <c r="BK6" i="1" s="1"/>
  <c r="X7" i="1"/>
  <c r="BK7" i="1" s="1"/>
  <c r="X8" i="1"/>
  <c r="BK8" i="1" s="1"/>
  <c r="X9" i="1"/>
  <c r="BK9" i="1" s="1"/>
  <c r="X10" i="1"/>
  <c r="BK10" i="1" s="1"/>
  <c r="X11" i="1"/>
  <c r="BK11" i="1" s="1"/>
  <c r="X12" i="1"/>
  <c r="BK12" i="1" s="1"/>
  <c r="X13" i="1"/>
  <c r="BK13" i="1" s="1"/>
  <c r="X14" i="1"/>
  <c r="BK14" i="1" s="1"/>
  <c r="X15" i="1"/>
  <c r="BK15" i="1" s="1"/>
  <c r="X16" i="1"/>
  <c r="BK16" i="1" s="1"/>
  <c r="X17" i="1"/>
  <c r="BK17" i="1" s="1"/>
  <c r="X18" i="1"/>
  <c r="BK18" i="1" s="1"/>
  <c r="X19" i="1"/>
  <c r="BK19" i="1" s="1"/>
  <c r="X20" i="1"/>
  <c r="BK20" i="1" s="1"/>
  <c r="X21" i="1"/>
  <c r="BK21" i="1" s="1"/>
  <c r="X22" i="1"/>
  <c r="BK22" i="1" s="1"/>
  <c r="X23" i="1"/>
  <c r="BK23" i="1" s="1"/>
  <c r="X24" i="1"/>
  <c r="BK24" i="1" s="1"/>
  <c r="X25" i="1"/>
  <c r="BK25" i="1" s="1"/>
  <c r="X26" i="1"/>
  <c r="BK26" i="1" s="1"/>
  <c r="X27" i="1"/>
  <c r="BK27" i="1" s="1"/>
  <c r="X28" i="1"/>
  <c r="BK28" i="1" s="1"/>
  <c r="X29" i="1"/>
  <c r="BK29" i="1" s="1"/>
  <c r="X30" i="1"/>
  <c r="BK30" i="1" s="1"/>
  <c r="X31" i="1"/>
  <c r="BK31" i="1" s="1"/>
  <c r="X32" i="1"/>
  <c r="BK32" i="1" s="1"/>
  <c r="X33" i="1"/>
  <c r="BK33" i="1" s="1"/>
  <c r="X34" i="1"/>
  <c r="BK34" i="1" s="1"/>
  <c r="X35" i="1"/>
  <c r="BK35" i="1" s="1"/>
  <c r="X36" i="1"/>
  <c r="BK36" i="1" s="1"/>
  <c r="X37" i="1"/>
  <c r="BK37" i="1" s="1"/>
  <c r="X38" i="1"/>
  <c r="BK38" i="1" s="1"/>
  <c r="X39" i="1"/>
  <c r="BK39" i="1" s="1"/>
  <c r="X40" i="1"/>
  <c r="BK40" i="1" s="1"/>
  <c r="X41" i="1"/>
  <c r="BK41" i="1" s="1"/>
  <c r="X42" i="1"/>
  <c r="BK42" i="1" s="1"/>
  <c r="X43" i="1"/>
  <c r="BK43" i="1" s="1"/>
  <c r="X44" i="1"/>
  <c r="BK44" i="1" s="1"/>
  <c r="X45" i="1"/>
  <c r="BK45" i="1" s="1"/>
  <c r="X46" i="1"/>
  <c r="BK46" i="1" s="1"/>
  <c r="X47" i="1"/>
  <c r="BK47" i="1" s="1"/>
  <c r="X48" i="1"/>
  <c r="BK48" i="1" s="1"/>
  <c r="X49" i="1"/>
  <c r="BK49" i="1" s="1"/>
  <c r="X50" i="1"/>
  <c r="BK50" i="1" s="1"/>
  <c r="X51" i="1"/>
  <c r="BK51" i="1" s="1"/>
  <c r="X52" i="1"/>
  <c r="BK52" i="1" s="1"/>
  <c r="X53" i="1"/>
  <c r="BK53" i="1" s="1"/>
  <c r="X54" i="1"/>
  <c r="BK54" i="1" s="1"/>
  <c r="X55" i="1"/>
  <c r="BK55" i="1" s="1"/>
  <c r="X56" i="1"/>
  <c r="BK56" i="1" s="1"/>
  <c r="X57" i="1"/>
  <c r="BK57" i="1" s="1"/>
  <c r="X58" i="1"/>
  <c r="BK58" i="1" s="1"/>
  <c r="X59" i="1"/>
  <c r="BK59" i="1" s="1"/>
  <c r="X60" i="1"/>
  <c r="BK60" i="1" s="1"/>
  <c r="X61" i="1"/>
  <c r="BK61" i="1" s="1"/>
  <c r="X62" i="1"/>
  <c r="BK62" i="1" s="1"/>
  <c r="X63" i="1"/>
  <c r="BK63" i="1" s="1"/>
  <c r="X64" i="1"/>
  <c r="BK64" i="1" s="1"/>
  <c r="X65" i="1"/>
  <c r="BK65" i="1" s="1"/>
  <c r="X66" i="1"/>
  <c r="BK66" i="1" s="1"/>
  <c r="X67" i="1"/>
  <c r="BK67" i="1" s="1"/>
  <c r="X68" i="1"/>
  <c r="BK68" i="1" s="1"/>
  <c r="X69" i="1"/>
  <c r="BK69" i="1" s="1"/>
  <c r="X70" i="1"/>
  <c r="BK70" i="1" s="1"/>
  <c r="X71" i="1"/>
  <c r="BK71" i="1" s="1"/>
  <c r="X72" i="1"/>
  <c r="BK72" i="1" s="1"/>
  <c r="X73" i="1"/>
  <c r="BK73" i="1" s="1"/>
  <c r="X74" i="1"/>
  <c r="BK74" i="1" s="1"/>
  <c r="X75" i="1"/>
  <c r="BK75" i="1" s="1"/>
  <c r="X76" i="1"/>
  <c r="BK76" i="1" s="1"/>
  <c r="X77" i="1"/>
  <c r="BK77" i="1" s="1"/>
  <c r="X78" i="1"/>
  <c r="BK78" i="1" s="1"/>
  <c r="X79" i="1"/>
  <c r="BK79" i="1" s="1"/>
  <c r="X80" i="1"/>
  <c r="BK80" i="1" s="1"/>
  <c r="X81" i="1"/>
  <c r="BK81" i="1" s="1"/>
  <c r="X82" i="1"/>
  <c r="BK82" i="1" s="1"/>
  <c r="X83" i="1"/>
  <c r="BK83" i="1" s="1"/>
  <c r="X84" i="1"/>
  <c r="BK84" i="1" s="1"/>
  <c r="X85" i="1"/>
  <c r="BK85" i="1" s="1"/>
  <c r="X86" i="1"/>
  <c r="BK86" i="1" s="1"/>
  <c r="X87" i="1"/>
  <c r="BK87" i="1" s="1"/>
  <c r="X88" i="1"/>
  <c r="BK88" i="1" s="1"/>
  <c r="X89" i="1"/>
  <c r="BK89" i="1" s="1"/>
  <c r="X90" i="1"/>
  <c r="BK90" i="1" s="1"/>
  <c r="X91" i="1"/>
  <c r="BK91" i="1" s="1"/>
  <c r="X92" i="1"/>
  <c r="BK92" i="1" s="1"/>
  <c r="X93" i="1"/>
  <c r="BK93" i="1" s="1"/>
  <c r="X94" i="1"/>
  <c r="BK94" i="1" s="1"/>
  <c r="X95" i="1"/>
  <c r="BK95" i="1" s="1"/>
  <c r="X96" i="1"/>
  <c r="BK96" i="1" s="1"/>
  <c r="X97" i="1"/>
  <c r="BK97" i="1" s="1"/>
  <c r="X98" i="1"/>
  <c r="BK98" i="1" s="1"/>
  <c r="X99" i="1"/>
  <c r="BK99" i="1" s="1"/>
  <c r="X100" i="1"/>
  <c r="BK100" i="1" s="1"/>
  <c r="X101" i="1"/>
  <c r="BK101" i="1" s="1"/>
  <c r="X2" i="1"/>
  <c r="BK2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</calcChain>
</file>

<file path=xl/sharedStrings.xml><?xml version="1.0" encoding="utf-8"?>
<sst xmlns="http://schemas.openxmlformats.org/spreadsheetml/2006/main" count="1940" uniqueCount="1727">
  <si>
    <t>Customer ID</t>
  </si>
  <si>
    <t>Full Name</t>
  </si>
  <si>
    <t>Email Address</t>
  </si>
  <si>
    <t>Phone Number</t>
  </si>
  <si>
    <t>Address</t>
  </si>
  <si>
    <t>Product Code</t>
  </si>
  <si>
    <t>Product Name</t>
  </si>
  <si>
    <t>Order Date</t>
  </si>
  <si>
    <t>Customer Type</t>
  </si>
  <si>
    <t>Website URL</t>
  </si>
  <si>
    <t>Company Name</t>
  </si>
  <si>
    <t>Job Title</t>
  </si>
  <si>
    <t>Department Code</t>
  </si>
  <si>
    <t>Comments</t>
  </si>
  <si>
    <t>CUST001</t>
  </si>
  <si>
    <t xml:space="preserve">  rajesh KUMAR  </t>
  </si>
  <si>
    <t>rajesh.kumar@email.com</t>
  </si>
  <si>
    <t>9876543210</t>
  </si>
  <si>
    <t xml:space="preserve">  123 MG Road  </t>
  </si>
  <si>
    <t>PRD-ELC-001</t>
  </si>
  <si>
    <t>laptop DELL inspiron 15</t>
  </si>
  <si>
    <t>15-Jan-2024</t>
  </si>
  <si>
    <t>RETAIL</t>
  </si>
  <si>
    <t>www.techstore.com/products</t>
  </si>
  <si>
    <t xml:space="preserve">  Tech Solutions Pvt Ltd  </t>
  </si>
  <si>
    <t>sales manager</t>
  </si>
  <si>
    <t>DEPT-SALES-001</t>
  </si>
  <si>
    <t>Urgent delivery needed</t>
  </si>
  <si>
    <t>cust002</t>
  </si>
  <si>
    <t>PRIYA sharma</t>
  </si>
  <si>
    <t>PRIYA.SHARMA@EMAIL.COM</t>
  </si>
  <si>
    <t>(022) 2345-6789</t>
  </si>
  <si>
    <t>456 Park Street</t>
  </si>
  <si>
    <t>prd-mob-002</t>
  </si>
  <si>
    <t>SAMSUNG Galaxy S23</t>
  </si>
  <si>
    <t>22-Jan-2024</t>
  </si>
  <si>
    <t>wholesale</t>
  </si>
  <si>
    <t>WWW.MOBILEHUB.COM</t>
  </si>
  <si>
    <t>mobile HUB india</t>
  </si>
  <si>
    <t>PURCHASE HEAD</t>
  </si>
  <si>
    <t>dept-pur-002</t>
  </si>
  <si>
    <t xml:space="preserve">  Request discount  </t>
  </si>
  <si>
    <t>Cust003</t>
  </si>
  <si>
    <t>amit  PATEL</t>
  </si>
  <si>
    <t>amit_patel@company.in</t>
  </si>
  <si>
    <t>+91-9988776655</t>
  </si>
  <si>
    <t>789  Ring Road</t>
  </si>
  <si>
    <t>PRD-TAB-003</t>
  </si>
  <si>
    <t>apple iPad Pro 12.9</t>
  </si>
  <si>
    <t>05-Feb-2024</t>
  </si>
  <si>
    <t>Retail</t>
  </si>
  <si>
    <t>https://www.applezone.in</t>
  </si>
  <si>
    <t>Apple ZONE</t>
  </si>
  <si>
    <t>it manager</t>
  </si>
  <si>
    <t>DEPT-IT-003</t>
  </si>
  <si>
    <t>VIP customer</t>
  </si>
  <si>
    <t>CUST004</t>
  </si>
  <si>
    <t xml:space="preserve">sneha REDDY  </t>
  </si>
  <si>
    <t>sneha.reddy123@mail.com</t>
  </si>
  <si>
    <t>040-12345678</t>
  </si>
  <si>
    <t xml:space="preserve">  321 Jubilee Hills  </t>
  </si>
  <si>
    <t>prd-lap-004</t>
  </si>
  <si>
    <t>HP pavilion Gaming</t>
  </si>
  <si>
    <t>12-Feb-2024</t>
  </si>
  <si>
    <t>CORPORATE</t>
  </si>
  <si>
    <t>www.corporatetech.com/shop</t>
  </si>
  <si>
    <t>CORPORATE Tech Solutions</t>
  </si>
  <si>
    <t>Finance Director</t>
  </si>
  <si>
    <t>dept-fin-004</t>
  </si>
  <si>
    <t xml:space="preserve">Bulk order </t>
  </si>
  <si>
    <t>cust005</t>
  </si>
  <si>
    <t xml:space="preserve">  RAHUL verma</t>
  </si>
  <si>
    <t>rahulverma@inbox.com</t>
  </si>
  <si>
    <t>9123456789</t>
  </si>
  <si>
    <t>654 Marine Drive</t>
  </si>
  <si>
    <t>PRD-ACC-005</t>
  </si>
  <si>
    <t>wireless MOUSE logitech</t>
  </si>
  <si>
    <t>18-Feb-2024</t>
  </si>
  <si>
    <t>retail</t>
  </si>
  <si>
    <t>www.accessories.in</t>
  </si>
  <si>
    <t>gadget WORLD</t>
  </si>
  <si>
    <t>store manager</t>
  </si>
  <si>
    <t>DEPT-OPS-005</t>
  </si>
  <si>
    <t xml:space="preserve">  Check stock availability</t>
  </si>
  <si>
    <t>Cust006</t>
  </si>
  <si>
    <t xml:space="preserve">anita SINGH  </t>
  </si>
  <si>
    <t>ANITA.SINGH@CORPORATE.COM</t>
  </si>
  <si>
    <t>(080) 3456-7890</t>
  </si>
  <si>
    <t xml:space="preserve">  987 Whitefield  </t>
  </si>
  <si>
    <t>prd-mon-006</t>
  </si>
  <si>
    <t>SAMSUNG 27 inch Monitor</t>
  </si>
  <si>
    <t>25-Feb-2024</t>
  </si>
  <si>
    <t>WholeSale</t>
  </si>
  <si>
    <t>https://displayworld.com</t>
  </si>
  <si>
    <t xml:space="preserve">  Display WORLD Pvt Ltd</t>
  </si>
  <si>
    <t>OPERATIONS HEAD</t>
  </si>
  <si>
    <t>dept-ops-006</t>
  </si>
  <si>
    <t>Immediate shipment</t>
  </si>
  <si>
    <t>CUST007</t>
  </si>
  <si>
    <t>vikram mehta</t>
  </si>
  <si>
    <t>vikram_mehta@email.in</t>
  </si>
  <si>
    <t>+91-9876501234</t>
  </si>
  <si>
    <t>147 Anna Salai</t>
  </si>
  <si>
    <t>PRD-PRT-007</t>
  </si>
  <si>
    <t>canon PIXMA Printer</t>
  </si>
  <si>
    <t>03-Mar-2024</t>
  </si>
  <si>
    <t>WWW.PRINTERSOLUTIONS.COM</t>
  </si>
  <si>
    <t>Print Solutions</t>
  </si>
  <si>
    <t>admin manager</t>
  </si>
  <si>
    <t>DEPT-ADM-007</t>
  </si>
  <si>
    <t xml:space="preserve">  Installation required  </t>
  </si>
  <si>
    <t>cust008</t>
  </si>
  <si>
    <t>NEHA gupta</t>
  </si>
  <si>
    <t>neha.gupta@webmail.com</t>
  </si>
  <si>
    <t>011-98765432</t>
  </si>
  <si>
    <t xml:space="preserve">  258 Connaught Place  </t>
  </si>
  <si>
    <t>prd-key-008</t>
  </si>
  <si>
    <t>LOGITECH mechanical KEYBOARD</t>
  </si>
  <si>
    <t>10-Mar-2024</t>
  </si>
  <si>
    <t>www.peripherals.in</t>
  </si>
  <si>
    <t>PERIPHERAL paradise</t>
  </si>
  <si>
    <t>Sales Executive</t>
  </si>
  <si>
    <t>dept-sales-008</t>
  </si>
  <si>
    <t>Gift wrapping needed</t>
  </si>
  <si>
    <t>Cust009</t>
  </si>
  <si>
    <t xml:space="preserve">sanjay JOSHI  </t>
  </si>
  <si>
    <t>SANJAY.JOSHI@COMPANY.CO.IN</t>
  </si>
  <si>
    <t>(079) 2468-1357</t>
  </si>
  <si>
    <t>369 CG Road</t>
  </si>
  <si>
    <t>PRD-CAM-009</t>
  </si>
  <si>
    <t>logitech C920 WEBCAM</t>
  </si>
  <si>
    <t>17-Mar-2024</t>
  </si>
  <si>
    <t>Corporate</t>
  </si>
  <si>
    <t>https://www.videogear.com</t>
  </si>
  <si>
    <t xml:space="preserve">  video GEAR solutions  </t>
  </si>
  <si>
    <t>IT HEAD</t>
  </si>
  <si>
    <t>DEPT-IT-009</t>
  </si>
  <si>
    <t>Urgent requirement</t>
  </si>
  <si>
    <t>CUST010</t>
  </si>
  <si>
    <t xml:space="preserve">  kavita DESAI</t>
  </si>
  <si>
    <t>kavita.desai123@mail.in</t>
  </si>
  <si>
    <t>9988774455</t>
  </si>
  <si>
    <t xml:space="preserve">  741 Station Road  </t>
  </si>
  <si>
    <t>prd-hdd-010</t>
  </si>
  <si>
    <t>SEAGATE 2TB external HDD</t>
  </si>
  <si>
    <t>24-Mar-2024</t>
  </si>
  <si>
    <t>WWW.STORAGE.COM</t>
  </si>
  <si>
    <t>storage SOLUTIONS india</t>
  </si>
  <si>
    <t>warehouse manager</t>
  </si>
  <si>
    <t>dept-wh-010</t>
  </si>
  <si>
    <t xml:space="preserve">  Volume discount expected  </t>
  </si>
  <si>
    <t>cust011</t>
  </si>
  <si>
    <t>ARJUN nair</t>
  </si>
  <si>
    <t>arjun_nair@email.com</t>
  </si>
  <si>
    <t>+91-9845012345</t>
  </si>
  <si>
    <t>852 MG Road</t>
  </si>
  <si>
    <t>PRD-SSD-011</t>
  </si>
  <si>
    <t>samsung 1TB SSD</t>
  </si>
  <si>
    <t>31-Mar-2024</t>
  </si>
  <si>
    <t>www.storageworld.in</t>
  </si>
  <si>
    <t>STORAGE world</t>
  </si>
  <si>
    <t>tech lead</t>
  </si>
  <si>
    <t>DEPT-TECH-011</t>
  </si>
  <si>
    <t>Express delivery</t>
  </si>
  <si>
    <t>Cust012</t>
  </si>
  <si>
    <t xml:space="preserve">pooja IYER  </t>
  </si>
  <si>
    <t>POOJA.IYER@CORPORATE.IN</t>
  </si>
  <si>
    <t>(022) 3579-2468</t>
  </si>
  <si>
    <t xml:space="preserve">  963 Worli  </t>
  </si>
  <si>
    <t>prd-ram-012</t>
  </si>
  <si>
    <t>CORSAIR 16GB DDR4 ram</t>
  </si>
  <si>
    <t>07-Apr-2024</t>
  </si>
  <si>
    <t>https://memorysolutions.com</t>
  </si>
  <si>
    <t xml:space="preserve">  Memory SOLUTIONS  </t>
  </si>
  <si>
    <t>SYSTEM ADMIN</t>
  </si>
  <si>
    <t>dept-sys-012</t>
  </si>
  <si>
    <t>Compatibility check needed</t>
  </si>
  <si>
    <t>CUST013</t>
  </si>
  <si>
    <t>karan malhotra</t>
  </si>
  <si>
    <t>karan.malhotra@mail.com</t>
  </si>
  <si>
    <t>9876012345</t>
  </si>
  <si>
    <t>159 Sector 17</t>
  </si>
  <si>
    <t>PRD-GPU-013</t>
  </si>
  <si>
    <t>nvidia GeForce RTX 3060</t>
  </si>
  <si>
    <t>14-Apr-2024</t>
  </si>
  <si>
    <t>WWW.GRAPHICS.IN</t>
  </si>
  <si>
    <t>graphics PRO</t>
  </si>
  <si>
    <t>Gaming Manager</t>
  </si>
  <si>
    <t>dept-gam-013</t>
  </si>
  <si>
    <t xml:space="preserve">  Stock confirmation required</t>
  </si>
  <si>
    <t>cust014</t>
  </si>
  <si>
    <t xml:space="preserve">  RITU bajaj</t>
  </si>
  <si>
    <t>ritu_bajaj@inbox.in</t>
  </si>
  <si>
    <t>(0141) 2581-3692</t>
  </si>
  <si>
    <t xml:space="preserve">  357 MI Road  </t>
  </si>
  <si>
    <t>prd-psu-014</t>
  </si>
  <si>
    <t>CORSAIR 650W power SUPPLY</t>
  </si>
  <si>
    <t>21-Apr-2024</t>
  </si>
  <si>
    <t>www.powerstore.com</t>
  </si>
  <si>
    <t>POWER store solutions</t>
  </si>
  <si>
    <t>store HEAD</t>
  </si>
  <si>
    <t>DEPT-STORE-014</t>
  </si>
  <si>
    <t>Installation guide needed</t>
  </si>
  <si>
    <t>Cust015</t>
  </si>
  <si>
    <t xml:space="preserve">manish KAPOOR  </t>
  </si>
  <si>
    <t>MANISH.KAPOOR@COMPANY.COM</t>
  </si>
  <si>
    <t>+91-9123450987</t>
  </si>
  <si>
    <t>753 Koregaon Park</t>
  </si>
  <si>
    <t>PRD-CASE-015</t>
  </si>
  <si>
    <t>nzxt H510 CABINET</t>
  </si>
  <si>
    <t>28-Apr-2024</t>
  </si>
  <si>
    <t>https://www.pcbuilders.in</t>
  </si>
  <si>
    <t xml:space="preserve">  PC builders INDIA  </t>
  </si>
  <si>
    <t>PURCHASE MANAGER</t>
  </si>
  <si>
    <t>dept-pur-015</t>
  </si>
  <si>
    <t>Bulk pricing needed</t>
  </si>
  <si>
    <t>CUST016</t>
  </si>
  <si>
    <t>divya menon</t>
  </si>
  <si>
    <t>divya.menon@email.com</t>
  </si>
  <si>
    <t>0484-2345678</t>
  </si>
  <si>
    <t xml:space="preserve">  951 MG Road  </t>
  </si>
  <si>
    <t>prd-cool-016</t>
  </si>
  <si>
    <t>COOLER master CPU cooler</t>
  </si>
  <si>
    <t>05-May-2024</t>
  </si>
  <si>
    <t>WWW.COOLING.IN</t>
  </si>
  <si>
    <t>cooling WORLD</t>
  </si>
  <si>
    <t>technical manager</t>
  </si>
  <si>
    <t>DEPT-TECH-016</t>
  </si>
  <si>
    <t xml:space="preserve">  Urgent order  </t>
  </si>
  <si>
    <t>cust017</t>
  </si>
  <si>
    <t>ROHIT saxena</t>
  </si>
  <si>
    <t>rohit_saxena@mail.in</t>
  </si>
  <si>
    <t>(0522) 9876-5432</t>
  </si>
  <si>
    <t>147 Hazratganj</t>
  </si>
  <si>
    <t>PRD-FAN-017</t>
  </si>
  <si>
    <t>corsair RGB FANS pack</t>
  </si>
  <si>
    <t>12-May-2024</t>
  </si>
  <si>
    <t>www.rgbstore.com</t>
  </si>
  <si>
    <t>RGB STORE india</t>
  </si>
  <si>
    <t>Sales Manager</t>
  </si>
  <si>
    <t>dept-sales-017</t>
  </si>
  <si>
    <t>Color preference: Blue</t>
  </si>
  <si>
    <t>Cust018</t>
  </si>
  <si>
    <t xml:space="preserve">swati PILLAI  </t>
  </si>
  <si>
    <t>SWATI.PILLAI@CORPORATE.CO.IN</t>
  </si>
  <si>
    <t>+91-9988001122</t>
  </si>
  <si>
    <t xml:space="preserve">  258 Kowdiar  </t>
  </si>
  <si>
    <t>prd-spk-018</t>
  </si>
  <si>
    <t>BOSE soundbar 700</t>
  </si>
  <si>
    <t>19-May-2024</t>
  </si>
  <si>
    <t>https://audiosolutions.com</t>
  </si>
  <si>
    <t xml:space="preserve">  AUDIO solutions pvt LTD  </t>
  </si>
  <si>
    <t>OFFICE MANAGER</t>
  </si>
  <si>
    <t>DEPT-ADM-018</t>
  </si>
  <si>
    <t>Demo required</t>
  </si>
  <si>
    <t>CUST019</t>
  </si>
  <si>
    <t>aditya RAO</t>
  </si>
  <si>
    <t>aditya.rao@email.in</t>
  </si>
  <si>
    <t>0891-2468135</t>
  </si>
  <si>
    <t>369 Beach Road</t>
  </si>
  <si>
    <t>prd-head-019</t>
  </si>
  <si>
    <t>sony WH-1000XM5 HEADPHONES</t>
  </si>
  <si>
    <t>26-May-2024</t>
  </si>
  <si>
    <t>WWW.AUDIO.IN</t>
  </si>
  <si>
    <t>audio PARADISE</t>
  </si>
  <si>
    <t>buyer</t>
  </si>
  <si>
    <t>dept-buy-019</t>
  </si>
  <si>
    <t xml:space="preserve">  Price match request  </t>
  </si>
  <si>
    <t>cust020</t>
  </si>
  <si>
    <t xml:space="preserve">  MEGHA kulkarni</t>
  </si>
  <si>
    <t>megha_kulkarni@mail.com</t>
  </si>
  <si>
    <t>(0712) 3698-5274</t>
  </si>
  <si>
    <t xml:space="preserve">  741 Dharampeth  </t>
  </si>
  <si>
    <t>PRD-MIC-020</t>
  </si>
  <si>
    <t>blue YETI usb microphone</t>
  </si>
  <si>
    <t>02-Jun-2024</t>
  </si>
  <si>
    <t>www.recordingstudio.in</t>
  </si>
  <si>
    <t>RECORDING studio gear</t>
  </si>
  <si>
    <t>content CREATOR</t>
  </si>
  <si>
    <t>DEPT-MEDIA-020</t>
  </si>
  <si>
    <t>Warranty details needed</t>
  </si>
  <si>
    <t>Cust021</t>
  </si>
  <si>
    <t xml:space="preserve">vishal CHAUHAN  </t>
  </si>
  <si>
    <t>VISHAL.CHAUHAN@COMPANY.COM</t>
  </si>
  <si>
    <t>+91-9845123450</t>
  </si>
  <si>
    <t>852 Rajwada</t>
  </si>
  <si>
    <t>prd-web-021</t>
  </si>
  <si>
    <t>LOGITECH c930e webcam</t>
  </si>
  <si>
    <t>09-Jun-2024</t>
  </si>
  <si>
    <t>https://www.videoconf.in</t>
  </si>
  <si>
    <t xml:space="preserve">  video CONFERENCE solutions  </t>
  </si>
  <si>
    <t>IT MANAGER</t>
  </si>
  <si>
    <t>dept-it-021</t>
  </si>
  <si>
    <t>Setup assistance required</t>
  </si>
  <si>
    <t>CUST022</t>
  </si>
  <si>
    <t>shruti agarwal</t>
  </si>
  <si>
    <t>shruti.agarwal@email.in</t>
  </si>
  <si>
    <t>(080) 9876-0123</t>
  </si>
  <si>
    <t>963 Indiranagar</t>
  </si>
  <si>
    <t>prd-rou-022</t>
  </si>
  <si>
    <t>TP-LINK archer AX50 router</t>
  </si>
  <si>
    <t>16-Jun-2024</t>
  </si>
  <si>
    <t>WWW.NETWORKING.COM</t>
  </si>
  <si>
    <t>network SOLUTIONS india</t>
  </si>
  <si>
    <t>network admin</t>
  </si>
  <si>
    <t>DEPT-NET-022</t>
  </si>
  <si>
    <t xml:space="preserve">  Configuration help needed  </t>
  </si>
  <si>
    <t>cust023</t>
  </si>
  <si>
    <t xml:space="preserve">  NIKHIL sharma</t>
  </si>
  <si>
    <t>nikhil_sharma@inbox.com</t>
  </si>
  <si>
    <t>0755-2345678</t>
  </si>
  <si>
    <t xml:space="preserve">  159 New Market  </t>
  </si>
  <si>
    <t>PRD-SWITCH-023</t>
  </si>
  <si>
    <t>netgear 24-PORT gigabit SWITCH</t>
  </si>
  <si>
    <t>23-Jun-2024</t>
  </si>
  <si>
    <t>www.switchstore.in</t>
  </si>
  <si>
    <t>SWITCH store PRO</t>
  </si>
  <si>
    <t>System Engineer</t>
  </si>
  <si>
    <t>dept-sys-023</t>
  </si>
  <si>
    <t>Rack mounting required</t>
  </si>
  <si>
    <t>Cust024</t>
  </si>
  <si>
    <t xml:space="preserve">anjali CHAWLA  </t>
  </si>
  <si>
    <t>ANJALI.CHAWLA@CORPORATE.IN</t>
  </si>
  <si>
    <t>+91-9123789456</t>
  </si>
  <si>
    <t>357 Sector 35</t>
  </si>
  <si>
    <t>prd-mod-024</t>
  </si>
  <si>
    <t>NETGEAR cable modem</t>
  </si>
  <si>
    <t>30-Jun-2024</t>
  </si>
  <si>
    <t>https://broadband.com</t>
  </si>
  <si>
    <t xml:space="preserve">  BROADBAND solutions  </t>
  </si>
  <si>
    <t>TELECOM HEAD</t>
  </si>
  <si>
    <t>DEPT-TEL-024</t>
  </si>
  <si>
    <t>Installation service needed</t>
  </si>
  <si>
    <t>CUST025</t>
  </si>
  <si>
    <t>gaurav PANDEY</t>
  </si>
  <si>
    <t>gaurav.pandey@mail.in</t>
  </si>
  <si>
    <t>(0512) 8765-4321</t>
  </si>
  <si>
    <t>753 Swaroop Nagar</t>
  </si>
  <si>
    <t>prd-ext-025</t>
  </si>
  <si>
    <t>TP-LINK wifi EXTENDER</t>
  </si>
  <si>
    <t>07-Jul-2024</t>
  </si>
  <si>
    <t>WWW.WIFI.IN</t>
  </si>
  <si>
    <t>wifi WORLD india</t>
  </si>
  <si>
    <t>DEPT-RETAIL-025</t>
  </si>
  <si>
    <t xml:space="preserve">  Range test needed  </t>
  </si>
  <si>
    <t>cust026</t>
  </si>
  <si>
    <t xml:space="preserve">  PRIYANKA yadav</t>
  </si>
  <si>
    <t>priyanka_yadav@email.com</t>
  </si>
  <si>
    <t>0612-3456789</t>
  </si>
  <si>
    <t xml:space="preserve">  951 Boring Road  </t>
  </si>
  <si>
    <t>PRD-UPS-026</t>
  </si>
  <si>
    <t>apc 1100VA UPS</t>
  </si>
  <si>
    <t>14-Jul-2024</t>
  </si>
  <si>
    <t>www.powerbackup.com</t>
  </si>
  <si>
    <t>POWER backup solutions</t>
  </si>
  <si>
    <t>Operations Manager</t>
  </si>
  <si>
    <t>dept-ops-026</t>
  </si>
  <si>
    <t>Battery backup time query</t>
  </si>
  <si>
    <t>Cust027</t>
  </si>
  <si>
    <t xml:space="preserve">deepak JAIN  </t>
  </si>
  <si>
    <t>DEEPAK.JAIN@COMPANY.CO.IN</t>
  </si>
  <si>
    <t>+91-9988112233</t>
  </si>
  <si>
    <t>147 Civil Lines</t>
  </si>
  <si>
    <t>prd-stab-027</t>
  </si>
  <si>
    <t>V-GUARD voltage STABILIZER</t>
  </si>
  <si>
    <t>21-Jul-2024</t>
  </si>
  <si>
    <t>https://electrical.in</t>
  </si>
  <si>
    <t xml:space="preserve">  electrical SOLUTIONS pvt ltd  </t>
  </si>
  <si>
    <t>ELECTRICAL HEAD</t>
  </si>
  <si>
    <t>DEPT-ELEC-027</t>
  </si>
  <si>
    <t>Capacity recommendation needed</t>
  </si>
  <si>
    <t>CUST028</t>
  </si>
  <si>
    <t>nidhi khanna</t>
  </si>
  <si>
    <t>nidhi.khanna@mail.in</t>
  </si>
  <si>
    <t>(0161) 2468-9753</t>
  </si>
  <si>
    <t>258 Model Town</t>
  </si>
  <si>
    <t>prd-inv-028</t>
  </si>
  <si>
    <t>LUMINOUS 1500VA inverter</t>
  </si>
  <si>
    <t>28-Jul-2024</t>
  </si>
  <si>
    <t>WWW.INVERTERS.COM</t>
  </si>
  <si>
    <t>inverter STORE</t>
  </si>
  <si>
    <t>sales HEAD</t>
  </si>
  <si>
    <t>dept-sales-028</t>
  </si>
  <si>
    <t xml:space="preserve">  Installation charges query  </t>
  </si>
  <si>
    <t>cust029</t>
  </si>
  <si>
    <t xml:space="preserve">  SURESH kumar</t>
  </si>
  <si>
    <t>suresh_kumar@email.com</t>
  </si>
  <si>
    <t>0422-3698521</t>
  </si>
  <si>
    <t xml:space="preserve">  369 RS Puram  </t>
  </si>
  <si>
    <t>PRD-BAT-029</t>
  </si>
  <si>
    <t>exide 150AH BATTERY</t>
  </si>
  <si>
    <t>04-Aug-2024</t>
  </si>
  <si>
    <t>www.batteries.in</t>
  </si>
  <si>
    <t>BATTERY world INDIA</t>
  </si>
  <si>
    <t>Facility Manager</t>
  </si>
  <si>
    <t>DEPT-FAC-029</t>
  </si>
  <si>
    <t>Warranty period check</t>
  </si>
  <si>
    <t>Cust030</t>
  </si>
  <si>
    <t xml:space="preserve">aarti MISHRA  </t>
  </si>
  <si>
    <t>AARTI.MISHRA@CORPORATE.COM</t>
  </si>
  <si>
    <t>+91-9876234567</t>
  </si>
  <si>
    <t>741 Alkapuri</t>
  </si>
  <si>
    <t>prd-sol-030</t>
  </si>
  <si>
    <t>LUMINOUS solar PANEL 250W</t>
  </si>
  <si>
    <t>11-Aug-2024</t>
  </si>
  <si>
    <t>https://www.solarpower.in</t>
  </si>
  <si>
    <t xml:space="preserve">  SOLAR power solutions  </t>
  </si>
  <si>
    <t>ENERGY MANAGER</t>
  </si>
  <si>
    <t>dept-eng-030</t>
  </si>
  <si>
    <t>Installation timeline needed</t>
  </si>
  <si>
    <t>CUST031</t>
  </si>
  <si>
    <t>tarun singh</t>
  </si>
  <si>
    <t>tarun.singh@mail.in</t>
  </si>
  <si>
    <t>(0124) 9876-5432</t>
  </si>
  <si>
    <t>852 Cyber City</t>
  </si>
  <si>
    <t>prd-chr-031</t>
  </si>
  <si>
    <t>ANKER 65W USB-C charger</t>
  </si>
  <si>
    <t>18-Aug-2024</t>
  </si>
  <si>
    <t>WWW.CHARGERS.COM</t>
  </si>
  <si>
    <t>charger WORLD</t>
  </si>
  <si>
    <t>tech support</t>
  </si>
  <si>
    <t>DEPT-SUPPORT-031</t>
  </si>
  <si>
    <t xml:space="preserve">  Compatibility check  </t>
  </si>
  <si>
    <t>cust032</t>
  </si>
  <si>
    <t xml:space="preserve">  SIMRAN kaur</t>
  </si>
  <si>
    <t>simran_kaur@email.in</t>
  </si>
  <si>
    <t>0183-2345678</t>
  </si>
  <si>
    <t xml:space="preserve">  963 Court Road  </t>
  </si>
  <si>
    <t>PRD-CABLE-032</t>
  </si>
  <si>
    <t>belkin USB-C TO HDMI cable</t>
  </si>
  <si>
    <t>25-Aug-2024</t>
  </si>
  <si>
    <t>www.cables.in</t>
  </si>
  <si>
    <t>CABLE solutions INDIA</t>
  </si>
  <si>
    <t>dept-sales-032</t>
  </si>
  <si>
    <t>Length: 2 meters</t>
  </si>
  <si>
    <t>Cust033</t>
  </si>
  <si>
    <t xml:space="preserve">alok TIWARI  </t>
  </si>
  <si>
    <t>ALOK.TIWARI@COMPANY.IN</t>
  </si>
  <si>
    <t>+91-9123456780</t>
  </si>
  <si>
    <t>159 Godowlia</t>
  </si>
  <si>
    <t>prd-adp-033</t>
  </si>
  <si>
    <t>APPLE lightning to USB adapter</t>
  </si>
  <si>
    <t>01-Sep-2024</t>
  </si>
  <si>
    <t>https://adapters.com</t>
  </si>
  <si>
    <t xml:space="preserve">  ADAPTER store PRO  </t>
  </si>
  <si>
    <t>PROCUREMENT LEAD</t>
  </si>
  <si>
    <t>DEPT-PROC-033</t>
  </si>
  <si>
    <t>Bulk discount expected</t>
  </si>
  <si>
    <t>CUST034</t>
  </si>
  <si>
    <t>radhika pillai</t>
  </si>
  <si>
    <t>radhika.pillai@mail.com</t>
  </si>
  <si>
    <t>(0821) 3698-7412</t>
  </si>
  <si>
    <t>357 Sayyaji Rao Road</t>
  </si>
  <si>
    <t>prd-hub-034</t>
  </si>
  <si>
    <t>ANKER 7-port USB hub</t>
  </si>
  <si>
    <t>08-Sep-2024</t>
  </si>
  <si>
    <t>WWW.USBHUB.IN</t>
  </si>
  <si>
    <t>usb HUB world</t>
  </si>
  <si>
    <t>IT Support</t>
  </si>
  <si>
    <t>dept-it-034</t>
  </si>
  <si>
    <t xml:space="preserve">  Power delivery query  </t>
  </si>
  <si>
    <t>cust035</t>
  </si>
  <si>
    <t xml:space="preserve">  HARISH reddy</t>
  </si>
  <si>
    <t>harish_reddy@email.in</t>
  </si>
  <si>
    <t>040-9876-0123</t>
  </si>
  <si>
    <t xml:space="preserve">  753 Banjara Hills  </t>
  </si>
  <si>
    <t>PRD-DOCK-035</t>
  </si>
  <si>
    <t>dell WD19 DOCKING station</t>
  </si>
  <si>
    <t>15-Sep-2024</t>
  </si>
  <si>
    <t>www.docking.com</t>
  </si>
  <si>
    <t>DOCKING solutions</t>
  </si>
  <si>
    <t>System Admin</t>
  </si>
  <si>
    <t>DEPT-SYS-035</t>
  </si>
  <si>
    <t>Laptop compatibility check</t>
  </si>
  <si>
    <t>Cust036</t>
  </si>
  <si>
    <t xml:space="preserve">madhuri DESHMUKH  </t>
  </si>
  <si>
    <t>MADHURI.DESHMUKH@CORPORATE.IN</t>
  </si>
  <si>
    <t>+91-9988776600</t>
  </si>
  <si>
    <t>951 Mumbai Naka</t>
  </si>
  <si>
    <t>prd-bag-036</t>
  </si>
  <si>
    <t>TARGUS laptop BAG 15.6 inch</t>
  </si>
  <si>
    <t>22-Sep-2024</t>
  </si>
  <si>
    <t>https://www.bags.in</t>
  </si>
  <si>
    <t xml:space="preserve">  BAG world INDIA  </t>
  </si>
  <si>
    <t>dept-pur-036</t>
  </si>
  <si>
    <t>Color: Black preferred</t>
  </si>
  <si>
    <t>CUST037</t>
  </si>
  <si>
    <t>sumit ghosh</t>
  </si>
  <si>
    <t>sumit.ghosh@mail.in</t>
  </si>
  <si>
    <t>(033) 2468-1357</t>
  </si>
  <si>
    <t>147 Park Street</t>
  </si>
  <si>
    <t>prd-sleeve-037</t>
  </si>
  <si>
    <t>hp NEOPRENE laptop sleeve</t>
  </si>
  <si>
    <t>29-Sep-2024</t>
  </si>
  <si>
    <t>WWW.SLEEVES.COM</t>
  </si>
  <si>
    <t>sleeve STORE</t>
  </si>
  <si>
    <t>Retail Manager</t>
  </si>
  <si>
    <t>dept-retail-037</t>
  </si>
  <si>
    <t xml:space="preserve">  Size confirmation needed  </t>
  </si>
  <si>
    <t>cust038</t>
  </si>
  <si>
    <t xml:space="preserve">  GEETA nair</t>
  </si>
  <si>
    <t>geeta_nair@email.com</t>
  </si>
  <si>
    <t>0471-3698521</t>
  </si>
  <si>
    <t xml:space="preserve">  258 Kesavadasapuram  </t>
  </si>
  <si>
    <t>PRD-STAND-038</t>
  </si>
  <si>
    <t>AMAZON basics laptop STAND</t>
  </si>
  <si>
    <t>06-Oct-2024</t>
  </si>
  <si>
    <t>www.stands.in</t>
  </si>
  <si>
    <t>STAND solutions india</t>
  </si>
  <si>
    <t>office manager</t>
  </si>
  <si>
    <t>DEPT-OFFICE-038</t>
  </si>
  <si>
    <t>Adjustable height needed</t>
  </si>
  <si>
    <t>Cust039</t>
  </si>
  <si>
    <t xml:space="preserve">ramesh PATEL  </t>
  </si>
  <si>
    <t>RAMESH.PATEL@COMPANY.COM</t>
  </si>
  <si>
    <t>+91-9876123450</t>
  </si>
  <si>
    <t>369 Kalupur</t>
  </si>
  <si>
    <t>prd-pad-039</t>
  </si>
  <si>
    <t>CORSAIR gaming mouse PAD</t>
  </si>
  <si>
    <t>13-Oct-2024</t>
  </si>
  <si>
    <t>https://gaming.in</t>
  </si>
  <si>
    <t xml:space="preserve">  GAMING accessories PRO  </t>
  </si>
  <si>
    <t>GAMING HEAD</t>
  </si>
  <si>
    <t>dept-gam-039</t>
  </si>
  <si>
    <t>Size: Extended</t>
  </si>
  <si>
    <t>CUST040</t>
  </si>
  <si>
    <t>sunita verma</t>
  </si>
  <si>
    <t>sunita.verma@mail.in</t>
  </si>
  <si>
    <t>(0121) 9876-5432</t>
  </si>
  <si>
    <t>741 Shastri Nagar</t>
  </si>
  <si>
    <t>prd-clean-040</t>
  </si>
  <si>
    <t>SCREEN cleaning KIT</t>
  </si>
  <si>
    <t>20-Oct-2024</t>
  </si>
  <si>
    <t>WWW.CLEANING.COM</t>
  </si>
  <si>
    <t>clean TECH solutions</t>
  </si>
  <si>
    <t>Store Supervisor</t>
  </si>
  <si>
    <t>dept-store-040</t>
  </si>
  <si>
    <t xml:space="preserve">  Alcohol-free solution  </t>
  </si>
  <si>
    <t>cust041</t>
  </si>
  <si>
    <t xml:space="preserve">  VIVEK chopra</t>
  </si>
  <si>
    <t>vivek_chopra@email.in</t>
  </si>
  <si>
    <t>0120-3456789</t>
  </si>
  <si>
    <t xml:space="preserve">  852 Sector 62  </t>
  </si>
  <si>
    <t>PRD-LOCK-041</t>
  </si>
  <si>
    <t>kensington LAPTOP lock</t>
  </si>
  <si>
    <t>27-Oct-2024</t>
  </si>
  <si>
    <t>www.security.in</t>
  </si>
  <si>
    <t>SECURITY solutions INDIA</t>
  </si>
  <si>
    <t>Security Manager</t>
  </si>
  <si>
    <t>DEPT-SEC-041</t>
  </si>
  <si>
    <t>Key lock type preferred</t>
  </si>
  <si>
    <t>Cust042</t>
  </si>
  <si>
    <t xml:space="preserve">sapna BHATIA  </t>
  </si>
  <si>
    <t>SAPNA.BHATIA@CORPORATE.IN</t>
  </si>
  <si>
    <t>+91-9123890123</t>
  </si>
  <si>
    <t>963 Old Faridabad</t>
  </si>
  <si>
    <t>prd-skin-042</t>
  </si>
  <si>
    <t>DBRAND laptop SKIN macbook</t>
  </si>
  <si>
    <t>03-Nov-2024</t>
  </si>
  <si>
    <t>https://skins.com</t>
  </si>
  <si>
    <t xml:space="preserve">  SKIN store PRO  </t>
  </si>
  <si>
    <t>DESIGN HEAD</t>
  </si>
  <si>
    <t>dept-des-042</t>
  </si>
  <si>
    <t>Custom design request</t>
  </si>
  <si>
    <t>CUST043</t>
  </si>
  <si>
    <t>ashish kumar</t>
  </si>
  <si>
    <t>ashish.kumar@mail.in</t>
  </si>
  <si>
    <t>(0651) 2468-9753</t>
  </si>
  <si>
    <t>159 Main Road</t>
  </si>
  <si>
    <t>prd-glass-043</t>
  </si>
  <si>
    <t>SPIGEN tempered GLASS screen protector</t>
  </si>
  <si>
    <t>10-Nov-2024</t>
  </si>
  <si>
    <t>WWW.PROTECTORS.IN</t>
  </si>
  <si>
    <t>protector WORLD</t>
  </si>
  <si>
    <t>dept-sales-043</t>
  </si>
  <si>
    <t xml:space="preserve">  Anti-glare coating needed  </t>
  </si>
  <si>
    <t>cust044</t>
  </si>
  <si>
    <t xml:space="preserve">  REKHA singh</t>
  </si>
  <si>
    <t>rekha_singh@email.com</t>
  </si>
  <si>
    <t>0361-3698741</t>
  </si>
  <si>
    <t xml:space="preserve">  357 GS Road  </t>
  </si>
  <si>
    <t>PRD-COVER-044</t>
  </si>
  <si>
    <t>otter BOX protective COVER</t>
  </si>
  <si>
    <t>17-Nov-2024</t>
  </si>
  <si>
    <t>www.covers.com</t>
  </si>
  <si>
    <t>COVER solutions india</t>
  </si>
  <si>
    <t>Product Manager</t>
  </si>
  <si>
    <t>DEPT-PROD-044</t>
  </si>
  <si>
    <t>Drop protection rating query</t>
  </si>
  <si>
    <t>Cust045</t>
  </si>
  <si>
    <t xml:space="preserve">mohit AGARWAL  </t>
  </si>
  <si>
    <t>MOHIT.AGARWAL@COMPANY.COM</t>
  </si>
  <si>
    <t>+91-9988445566</t>
  </si>
  <si>
    <t>753 Rajpur Road</t>
  </si>
  <si>
    <t>prd-pen-045</t>
  </si>
  <si>
    <t>WACOM stylus PEN</t>
  </si>
  <si>
    <t>24-Nov-2024</t>
  </si>
  <si>
    <t>https://www.stylus.in</t>
  </si>
  <si>
    <t xml:space="preserve">  STYLUS world PRO  </t>
  </si>
  <si>
    <t>CREATIVE DIRECTOR</t>
  </si>
  <si>
    <t>dept-cre-045</t>
  </si>
  <si>
    <t>Pressure sensitivity check</t>
  </si>
  <si>
    <t>CUST046</t>
  </si>
  <si>
    <t>kamini rao</t>
  </si>
  <si>
    <t>kamini.rao@mail.in</t>
  </si>
  <si>
    <t>(0824) 9876-0123</t>
  </si>
  <si>
    <t>951 Hampankatta</t>
  </si>
  <si>
    <t>prd-draw-046</t>
  </si>
  <si>
    <t>HUION graphics TABLET</t>
  </si>
  <si>
    <t>01-Dec-2024</t>
  </si>
  <si>
    <t>WWW.GRAPHICS.COM</t>
  </si>
  <si>
    <t>graphics SOLUTIONS</t>
  </si>
  <si>
    <t>Designer</t>
  </si>
  <si>
    <t>dept-design-046</t>
  </si>
  <si>
    <t xml:space="preserve">  Software compatibility  </t>
  </si>
  <si>
    <t>cust047</t>
  </si>
  <si>
    <t xml:space="preserve">  AJAY malhotra</t>
  </si>
  <si>
    <t>ajay_malhotra@email.in</t>
  </si>
  <si>
    <t>0177-2345678</t>
  </si>
  <si>
    <t xml:space="preserve">  147 The Mall  </t>
  </si>
  <si>
    <t>PRD-SCANNER-047</t>
  </si>
  <si>
    <t>epson FLATBED scanner</t>
  </si>
  <si>
    <t>08-Dec-2024</t>
  </si>
  <si>
    <t>www.scanners.in</t>
  </si>
  <si>
    <t>SCANNER store INDIA</t>
  </si>
  <si>
    <t>Document Manager</t>
  </si>
  <si>
    <t>DEPT-DOC-047</t>
  </si>
  <si>
    <t>OCR capability needed</t>
  </si>
  <si>
    <t>Cust048</t>
  </si>
  <si>
    <t xml:space="preserve">lata SHARMA  </t>
  </si>
  <si>
    <t>LATA.SHARMA@CORPORATE.IN</t>
  </si>
  <si>
    <t>+91-9876234890</t>
  </si>
  <si>
    <t>258 Residency Road</t>
  </si>
  <si>
    <t>prd-lam-048</t>
  </si>
  <si>
    <t>FELLOWES a4 LAMINATOR</t>
  </si>
  <si>
    <t>15-Dec-2024</t>
  </si>
  <si>
    <t>https://office.in</t>
  </si>
  <si>
    <t xml:space="preserve">  OFFICE supplies PRO  </t>
  </si>
  <si>
    <t>ADMIN HEAD</t>
  </si>
  <si>
    <t>dept-adm-048</t>
  </si>
  <si>
    <t>Lamination thickness options</t>
  </si>
  <si>
    <t>CUST049</t>
  </si>
  <si>
    <t>naveen kumar</t>
  </si>
  <si>
    <t>naveen.kumar@mail.in</t>
  </si>
  <si>
    <t>(0194) 3698-5214</t>
  </si>
  <si>
    <t>369 Dal Lake Road</t>
  </si>
  <si>
    <t>prd-bind-049</t>
  </si>
  <si>
    <t>GBC comb BINDING machine</t>
  </si>
  <si>
    <t>22-Dec-2024</t>
  </si>
  <si>
    <t>WWW.BINDING.COM</t>
  </si>
  <si>
    <t>binding SOLUTIONS</t>
  </si>
  <si>
    <t>Office Manager</t>
  </si>
  <si>
    <t>dept-office-049</t>
  </si>
  <si>
    <t xml:space="preserve">  Maximum binding capacity  </t>
  </si>
  <si>
    <t>cust050</t>
  </si>
  <si>
    <t xml:space="preserve">  PALLAVI iyer</t>
  </si>
  <si>
    <t>pallavi_iyer@email.in</t>
  </si>
  <si>
    <t>0836-2468135</t>
  </si>
  <si>
    <t xml:space="preserve">  741 Unkal  </t>
  </si>
  <si>
    <t>PRD-SHRED-050</t>
  </si>
  <si>
    <t>aurora PAPER shredder</t>
  </si>
  <si>
    <t>29-Dec-2024</t>
  </si>
  <si>
    <t>www.shredders.in</t>
  </si>
  <si>
    <t>SHREDDER world INDIA</t>
  </si>
  <si>
    <t>Security Officer</t>
  </si>
  <si>
    <t>DEPT-SEC-050</t>
  </si>
  <si>
    <t>Cross-cut type preferred</t>
  </si>
  <si>
    <t>Cust051</t>
  </si>
  <si>
    <t xml:space="preserve">sachin JOSHI  </t>
  </si>
  <si>
    <t>SACHIN.JOSHI@COMPANY.IN</t>
  </si>
  <si>
    <t>+91-9123456098</t>
  </si>
  <si>
    <t>852 Aundh</t>
  </si>
  <si>
    <t>prd-proj-051</t>
  </si>
  <si>
    <t>EPSON eb-s05 PROJECTOR</t>
  </si>
  <si>
    <t>05-Jan-2025</t>
  </si>
  <si>
    <t>https://www.projectors.in</t>
  </si>
  <si>
    <t xml:space="preserve">  PROJECTOR solutions PRO  </t>
  </si>
  <si>
    <t>PRESENTATION LEAD</t>
  </si>
  <si>
    <t>dept-pres-051</t>
  </si>
  <si>
    <t>Lumens specification needed</t>
  </si>
  <si>
    <t>CUST052</t>
  </si>
  <si>
    <t>komal gupta</t>
  </si>
  <si>
    <t>komal.gupta@mail.in</t>
  </si>
  <si>
    <t>(0562) 9876-5432</t>
  </si>
  <si>
    <t>963 Sanjay Place</t>
  </si>
  <si>
    <t>prd-screen-052</t>
  </si>
  <si>
    <t>VISIONTEK projector SCREEN 100 inch</t>
  </si>
  <si>
    <t>12-Jan-2025</t>
  </si>
  <si>
    <t>WWW.SCREENS.COM</t>
  </si>
  <si>
    <t>screen WORLD</t>
  </si>
  <si>
    <t>AV Manager</t>
  </si>
  <si>
    <t>dept-av-052</t>
  </si>
  <si>
    <t xml:space="preserve">  Motorized option available?  </t>
  </si>
  <si>
    <t>cust053</t>
  </si>
  <si>
    <t xml:space="preserve">  PANKAJ mishra</t>
  </si>
  <si>
    <t>pankaj_mishra@email.in</t>
  </si>
  <si>
    <t>0532-3698741</t>
  </si>
  <si>
    <t xml:space="preserve">  159 Civil Lines  </t>
  </si>
  <si>
    <t>PRD-POINT-053</t>
  </si>
  <si>
    <t>logitech WIRELESS presenter</t>
  </si>
  <si>
    <t>19-Jan-2025</t>
  </si>
  <si>
    <t>www.presenters.in</t>
  </si>
  <si>
    <t>PRESENTER store INDIA</t>
  </si>
  <si>
    <t>Training Manager</t>
  </si>
  <si>
    <t>DEPT-TRAIN-053</t>
  </si>
  <si>
    <t>Range: 30 meters minimum</t>
  </si>
  <si>
    <t>Cust054</t>
  </si>
  <si>
    <t xml:space="preserve">usha REDDY  </t>
  </si>
  <si>
    <t>USHA.REDDY@CORPORATE.COM</t>
  </si>
  <si>
    <t>+91-9988123456</t>
  </si>
  <si>
    <t>357 Hanumakonda</t>
  </si>
  <si>
    <t>prd-white-054</t>
  </si>
  <si>
    <t>ZEBRONICS whiteboard 4X6 FEET</t>
  </si>
  <si>
    <t>26-Jan-2025</t>
  </si>
  <si>
    <t>https://whiteboards.com</t>
  </si>
  <si>
    <t xml:space="preserve">  WHITEBOARD solutions  </t>
  </si>
  <si>
    <t>OFFICE ADMIN</t>
  </si>
  <si>
    <t>dept-adm-054</t>
  </si>
  <si>
    <t>Magnetic surface needed</t>
  </si>
  <si>
    <t>CUST055</t>
  </si>
  <si>
    <t>ravi kapoor</t>
  </si>
  <si>
    <t>ravi.kapoor@mail.in</t>
  </si>
  <si>
    <t>(0120) 2468-9753</t>
  </si>
  <si>
    <t>753 Vaishali</t>
  </si>
  <si>
    <t>prd-mark-055</t>
  </si>
  <si>
    <t>FABER-CASTELL whiteboard MARKERS pack</t>
  </si>
  <si>
    <t>02-Feb-2025</t>
  </si>
  <si>
    <t>WWW.MARKERS.IN</t>
  </si>
  <si>
    <t>marker WORLD india</t>
  </si>
  <si>
    <t>Stationery Manager</t>
  </si>
  <si>
    <t>dept-stat-055</t>
  </si>
  <si>
    <t xml:space="preserve">  Refillable markers preferred  </t>
  </si>
  <si>
    <t>cust056</t>
  </si>
  <si>
    <t xml:space="preserve">  SHWETA bajaj</t>
  </si>
  <si>
    <t>shweta_bajaj@email.in</t>
  </si>
  <si>
    <t>0571-3698521</t>
  </si>
  <si>
    <t xml:space="preserve">  951 Delhi Gate  </t>
  </si>
  <si>
    <t>PRD-ERASER-056</t>
  </si>
  <si>
    <t>SCOTCH magnetic ERASER</t>
  </si>
  <si>
    <t>09-Feb-2025</t>
  </si>
  <si>
    <t>www.erasers.com</t>
  </si>
  <si>
    <t>ERASER store PRO</t>
  </si>
  <si>
    <t>School Supplies Head</t>
  </si>
  <si>
    <t>DEPT-SCHOOL-056</t>
  </si>
  <si>
    <t>Bulk packaging available?</t>
  </si>
  <si>
    <t>Cust057</t>
  </si>
  <si>
    <t xml:space="preserve">dinesh NAIR  </t>
  </si>
  <si>
    <t>DINESH.NAIR@COMPANY.IN</t>
  </si>
  <si>
    <t>+91-9876098765</t>
  </si>
  <si>
    <t>147 Broadway</t>
  </si>
  <si>
    <t>prd-cam-057</t>
  </si>
  <si>
    <t>NIKON d3500 DSLR camera</t>
  </si>
  <si>
    <t>16-Feb-2025</t>
  </si>
  <si>
    <t>https://cameras.in</t>
  </si>
  <si>
    <t xml:space="preserve">  CAMERA world INDIA  </t>
  </si>
  <si>
    <t>PHOTOGRAPHY HEAD</t>
  </si>
  <si>
    <t>dept-photo-057</t>
  </si>
  <si>
    <t>Lens kit included?</t>
  </si>
  <si>
    <t>CUST058</t>
  </si>
  <si>
    <t>ananya pillai</t>
  </si>
  <si>
    <t>ananya.pillai@mail.in</t>
  </si>
  <si>
    <t>(0474) 9876-0123</t>
  </si>
  <si>
    <t>258 Asramam</t>
  </si>
  <si>
    <t>prd-lens-058</t>
  </si>
  <si>
    <t>CANON ef 50mm F/1.8 LENS</t>
  </si>
  <si>
    <t>23-Feb-2025</t>
  </si>
  <si>
    <t>WWW.LENSES.COM</t>
  </si>
  <si>
    <t>lens SOLUTIONS</t>
  </si>
  <si>
    <t>Camera Specialist</t>
  </si>
  <si>
    <t>dept-cam-058</t>
  </si>
  <si>
    <t xml:space="preserve">  Autofocus type query  </t>
  </si>
  <si>
    <t>cust059</t>
  </si>
  <si>
    <t xml:space="preserve">  BHARAT patel</t>
  </si>
  <si>
    <t>bharat_patel@email.in</t>
  </si>
  <si>
    <t>0260-2468135</t>
  </si>
  <si>
    <t xml:space="preserve">  369 GIDC  </t>
  </si>
  <si>
    <t>PRD-TRIPOD-059</t>
  </si>
  <si>
    <t>MANFROTTO compact TRIPOD</t>
  </si>
  <si>
    <t>02-Mar-2025</t>
  </si>
  <si>
    <t>www.tripods.in</t>
  </si>
  <si>
    <t>TRIPOD store INDIA</t>
  </si>
  <si>
    <t>Equipment Manager</t>
  </si>
  <si>
    <t>DEPT-EQUIP-059</t>
  </si>
  <si>
    <t>Maximum height specification</t>
  </si>
  <si>
    <t>Cust060</t>
  </si>
  <si>
    <t xml:space="preserve">meera KULKARNI  </t>
  </si>
  <si>
    <t>MEERA.KULKARNI@CORPORATE.IN</t>
  </si>
  <si>
    <t>+91-9123098765</t>
  </si>
  <si>
    <t>741 South Sadar Bazar</t>
  </si>
  <si>
    <t>prd-flash-060</t>
  </si>
  <si>
    <t>GODOX speedlite FLASH</t>
  </si>
  <si>
    <t>09-Mar-2025</t>
  </si>
  <si>
    <t>https://flash.in</t>
  </si>
  <si>
    <t xml:space="preserve">  FLASH photography PRO  </t>
  </si>
  <si>
    <t>STUDIO MANAGER</t>
  </si>
  <si>
    <t>dept-studio-060</t>
  </si>
  <si>
    <t>TTL compatibility check</t>
  </si>
  <si>
    <t>CUST061</t>
  </si>
  <si>
    <t>sandeep chauhan</t>
  </si>
  <si>
    <t>sandeep.chauhan@mail.in</t>
  </si>
  <si>
    <t>(0141) 9876-5432</t>
  </si>
  <si>
    <t>852 C-Scheme</t>
  </si>
  <si>
    <t>prd-mem-061</t>
  </si>
  <si>
    <t>SANDISK 128GB SD CARD</t>
  </si>
  <si>
    <t>16-Mar-2025</t>
  </si>
  <si>
    <t>WWW.MEMORY.COM</t>
  </si>
  <si>
    <t>memory CARDS india</t>
  </si>
  <si>
    <t>Tech Manager</t>
  </si>
  <si>
    <t>dept-tech-061</t>
  </si>
  <si>
    <t xml:space="preserve">  UHS-II speed class  </t>
  </si>
  <si>
    <t>cust062</t>
  </si>
  <si>
    <t xml:space="preserve">  RASHMI agarwal</t>
  </si>
  <si>
    <t>rashmi_agarwal@email.in</t>
  </si>
  <si>
    <t>0291-3698741</t>
  </si>
  <si>
    <t xml:space="preserve">  963 Paota  </t>
  </si>
  <si>
    <t>PRD-BAG-062</t>
  </si>
  <si>
    <t>LOWEPRO camera BACKPACK</t>
  </si>
  <si>
    <t>23-Mar-2025</t>
  </si>
  <si>
    <t>www.camerabags.in</t>
  </si>
  <si>
    <t>CAMERA bag solutions</t>
  </si>
  <si>
    <t>Retail Head</t>
  </si>
  <si>
    <t>DEPT-RETAIL-062</t>
  </si>
  <si>
    <t>Laptop compartment needed</t>
  </si>
  <si>
    <t>Cust063</t>
  </si>
  <si>
    <t xml:space="preserve">anil SHARMA  </t>
  </si>
  <si>
    <t>ANIL.SHARMA@COMPANY.COM</t>
  </si>
  <si>
    <t>+91-9988234567</t>
  </si>
  <si>
    <t>159 City Palace Road</t>
  </si>
  <si>
    <t>prd-filter-063</t>
  </si>
  <si>
    <t>HOYA uv FILTER 58mm</t>
  </si>
  <si>
    <t>30-Mar-2025</t>
  </si>
  <si>
    <t>https://filters.in</t>
  </si>
  <si>
    <t xml:space="preserve">  FILTER world PRO  </t>
  </si>
  <si>
    <t>IMAGING HEAD</t>
  </si>
  <si>
    <t>dept-img-063</t>
  </si>
  <si>
    <t>Multi-coated option</t>
  </si>
  <si>
    <t>CUST064</t>
  </si>
  <si>
    <t>shalini chawla</t>
  </si>
  <si>
    <t>shalini.chawla@mail.in</t>
  </si>
  <si>
    <t>(0744) 2468-9753</t>
  </si>
  <si>
    <t>357 Kota Industrial Area</t>
  </si>
  <si>
    <t>prd-light-064</t>
  </si>
  <si>
    <t>NEEWER ring LIGHT 18 inch</t>
  </si>
  <si>
    <t>06-Apr-2025</t>
  </si>
  <si>
    <t>WWW.LIGHTING.COM</t>
  </si>
  <si>
    <t>lighting SOLUTIONS india</t>
  </si>
  <si>
    <t>Content Creator</t>
  </si>
  <si>
    <t>dept-content-064</t>
  </si>
  <si>
    <t xml:space="preserve">  Dimmable option needed  </t>
  </si>
  <si>
    <t>cust065</t>
  </si>
  <si>
    <t xml:space="preserve">  MANOJ pandey</t>
  </si>
  <si>
    <t>manoj_pandey@email.in</t>
  </si>
  <si>
    <t>0145-3698521</t>
  </si>
  <si>
    <t xml:space="preserve">  753 Vaishali Nagar  </t>
  </si>
  <si>
    <t>PRD-SOFT-065</t>
  </si>
  <si>
    <t>GODOX softbox 60X60 CM</t>
  </si>
  <si>
    <t>13-Apr-2025</t>
  </si>
  <si>
    <t>www.softbox.in</t>
  </si>
  <si>
    <t>SOFTBOX store INDIA</t>
  </si>
  <si>
    <t>Studio Owner</t>
  </si>
  <si>
    <t>DEPT-STUDIO-065</t>
  </si>
  <si>
    <t>Bowens mount type</t>
  </si>
  <si>
    <t>Cust066</t>
  </si>
  <si>
    <t xml:space="preserve">jaya YADAV  </t>
  </si>
  <si>
    <t>JAYA.YADAV@CORPORATE.IN</t>
  </si>
  <si>
    <t>+91-9876345678</t>
  </si>
  <si>
    <t>951 Rani Bazar</t>
  </si>
  <si>
    <t>prd-back-066</t>
  </si>
  <si>
    <t>SAVAGE seamless BACKDROP paper</t>
  </si>
  <si>
    <t>20-Apr-2025</t>
  </si>
  <si>
    <t>https://backdrops.in</t>
  </si>
  <si>
    <t xml:space="preserve">  BACKDROP solutions PRO  </t>
  </si>
  <si>
    <t>PHOTO DIRECTOR</t>
  </si>
  <si>
    <t>dept-photo-066</t>
  </si>
  <si>
    <t>Color: Chroma green</t>
  </si>
  <si>
    <t>CUST067</t>
  </si>
  <si>
    <t>prakash jain</t>
  </si>
  <si>
    <t>prakash.jain@mail.in</t>
  </si>
  <si>
    <t>(01572) 98765-4321</t>
  </si>
  <si>
    <t>147 Station Road</t>
  </si>
  <si>
    <t>prd-ref-067</t>
  </si>
  <si>
    <t>GODOX reflector 5-IN-1</t>
  </si>
  <si>
    <t>27-Apr-2025</t>
  </si>
  <si>
    <t>WWW.REFLECTORS.COM</t>
  </si>
  <si>
    <t>reflector WORLD</t>
  </si>
  <si>
    <t>Photography Trainer</t>
  </si>
  <si>
    <t>dept-train-067</t>
  </si>
  <si>
    <t xml:space="preserve">  Size: 110cm diameter  </t>
  </si>
  <si>
    <t>cust068</t>
  </si>
  <si>
    <t xml:space="preserve">  LEELA khanna</t>
  </si>
  <si>
    <t>leela_khanna@email.in</t>
  </si>
  <si>
    <t>05644-23456</t>
  </si>
  <si>
    <t xml:space="preserve">  258 Sewar Gate  </t>
  </si>
  <si>
    <t>PRD-CLEAN-068</t>
  </si>
  <si>
    <t>ZEISS lens CLEANING kit</t>
  </si>
  <si>
    <t>04-May-2025</t>
  </si>
  <si>
    <t>www.cleaning.in</t>
  </si>
  <si>
    <t>CLEANING supplies INDIA</t>
  </si>
  <si>
    <t>Maintenance Head</t>
  </si>
  <si>
    <t>DEPT-MAINT-068</t>
  </si>
  <si>
    <t>Microfiber cloth included?</t>
  </si>
  <si>
    <t>Cust069</t>
  </si>
  <si>
    <t xml:space="preserve">yogesh KUMAR  </t>
  </si>
  <si>
    <t>YOGESH.KUMAR@COMPANY.IN</t>
  </si>
  <si>
    <t>+91-9123567890</t>
  </si>
  <si>
    <t>369 Hope Circus</t>
  </si>
  <si>
    <t>prd-strap-069</t>
  </si>
  <si>
    <t>PEAK DESIGN camera STRAP</t>
  </si>
  <si>
    <t>11-May-2025</t>
  </si>
  <si>
    <t>https://straps.in</t>
  </si>
  <si>
    <t xml:space="preserve">  STRAP solutions PRO  </t>
  </si>
  <si>
    <t>EQUIPMENT MANAGER</t>
  </si>
  <si>
    <t>dept-equip-069</t>
  </si>
  <si>
    <t>Quick-release system needed</t>
  </si>
  <si>
    <t>CUST070</t>
  </si>
  <si>
    <t>nisha mishra</t>
  </si>
  <si>
    <t>nisha.mishra@mail.in</t>
  </si>
  <si>
    <t>(01482) 2468-135</t>
  </si>
  <si>
    <t>741 Gandhi Chowk</t>
  </si>
  <si>
    <t>prd-bat-070</t>
  </si>
  <si>
    <t>CANON lp-e6n BATTERY</t>
  </si>
  <si>
    <t>18-May-2025</t>
  </si>
  <si>
    <t>WWW.BATTERIES.COM</t>
  </si>
  <si>
    <t>battery WORLD cameras</t>
  </si>
  <si>
    <t>Camera Service</t>
  </si>
  <si>
    <t>dept-service-070</t>
  </si>
  <si>
    <t xml:space="preserve">  Original battery preferred  </t>
  </si>
  <si>
    <t>cust071</t>
  </si>
  <si>
    <t xml:space="preserve">  SUNIL singh</t>
  </si>
  <si>
    <t>sunil_singh@email.in</t>
  </si>
  <si>
    <t>0261-3698741</t>
  </si>
  <si>
    <t xml:space="preserve">  852 Ring Road  </t>
  </si>
  <si>
    <t>PRD-CHAR-071</t>
  </si>
  <si>
    <t>CANON battery CHARGER lc-e6</t>
  </si>
  <si>
    <t>25-May-2025</t>
  </si>
  <si>
    <t>www.chargers.in</t>
  </si>
  <si>
    <t>CHARGER solutions INDIA</t>
  </si>
  <si>
    <t>Accessories Head</t>
  </si>
  <si>
    <t>DEPT-ACC-071</t>
  </si>
  <si>
    <t>Dual charging slot</t>
  </si>
  <si>
    <t>Cust072</t>
  </si>
  <si>
    <t xml:space="preserve">vandana TIWARI  </t>
  </si>
  <si>
    <t>VANDANA.TIWARI@CORPORATE.COM</t>
  </si>
  <si>
    <t>+91-9988456789</t>
  </si>
  <si>
    <t>963 Paldi</t>
  </si>
  <si>
    <t>prd-grip-072</t>
  </si>
  <si>
    <t>MEIKE battery GRIP canon</t>
  </si>
  <si>
    <t>01-Jun-2025</t>
  </si>
  <si>
    <t>https://grips.in</t>
  </si>
  <si>
    <t xml:space="preserve">  GRIP world PRO  </t>
  </si>
  <si>
    <t>CAMERA TECH</t>
  </si>
  <si>
    <t>dept-tech-072</t>
  </si>
  <si>
    <t>Shutter button included?</t>
  </si>
  <si>
    <t>CUST073</t>
  </si>
  <si>
    <t>akash pillai</t>
  </si>
  <si>
    <t>akash.pillai@mail.in</t>
  </si>
  <si>
    <t>(079) 2468-9753</t>
  </si>
  <si>
    <t>159 Sector 15</t>
  </si>
  <si>
    <t>prd-ext-073</t>
  </si>
  <si>
    <t>CANON extension TUBE set</t>
  </si>
  <si>
    <t>08-Jun-2025</t>
  </si>
  <si>
    <t>WWW.EXTENSIONS.COM</t>
  </si>
  <si>
    <t>extension TUBES india</t>
  </si>
  <si>
    <t>Macro Specialist</t>
  </si>
  <si>
    <t>dept-macro-073</t>
  </si>
  <si>
    <t xml:space="preserve">  Auto-focus compatible  </t>
  </si>
  <si>
    <t>cust074</t>
  </si>
  <si>
    <t xml:space="preserve">  RUPA reddy</t>
  </si>
  <si>
    <t>rupa_reddy@email.in</t>
  </si>
  <si>
    <t>0285-3698521</t>
  </si>
  <si>
    <t xml:space="preserve">  357 Kalwa Chowk  </t>
  </si>
  <si>
    <t>PRD-CONV-074</t>
  </si>
  <si>
    <t>CANON wide ANGLE converter</t>
  </si>
  <si>
    <t>15-Jun-2025</t>
  </si>
  <si>
    <t>www.converters.in</t>
  </si>
  <si>
    <t>CONVERTER store INDIA</t>
  </si>
  <si>
    <t>Landscape Photographer</t>
  </si>
  <si>
    <t>DEPT-PHOTO-074</t>
  </si>
  <si>
    <t>0.7x magnification</t>
  </si>
  <si>
    <t>Cust075</t>
  </si>
  <si>
    <t xml:space="preserve">hemant DESAI  </t>
  </si>
  <si>
    <t>HEMANT.DESAI@COMPANY.IN</t>
  </si>
  <si>
    <t>+91-9876567890</t>
  </si>
  <si>
    <t>753 Waghawadi Road</t>
  </si>
  <si>
    <t>prd-hood-075</t>
  </si>
  <si>
    <t>CANON lens HOOD ew-73b</t>
  </si>
  <si>
    <t>22-Jun-2025</t>
  </si>
  <si>
    <t>https://hoods.in</t>
  </si>
  <si>
    <t xml:space="preserve">  LENS hood solutions  </t>
  </si>
  <si>
    <t>OPTICS MANAGER</t>
  </si>
  <si>
    <t>dept-optics-075</t>
  </si>
  <si>
    <t>Bayonet mount type</t>
  </si>
  <si>
    <t>CUST076</t>
  </si>
  <si>
    <t>tina nair</t>
  </si>
  <si>
    <t>tina.nair@mail.in</t>
  </si>
  <si>
    <t>(02692) 98765-432</t>
  </si>
  <si>
    <t>951 GIDC</t>
  </si>
  <si>
    <t>prd-cap-076</t>
  </si>
  <si>
    <t>LENS cap 58MM keeper</t>
  </si>
  <si>
    <t>29-Jun-2025</t>
  </si>
  <si>
    <t>WWW.CAPS.COM</t>
  </si>
  <si>
    <t>lens CAP world</t>
  </si>
  <si>
    <t>Accessories Manager</t>
  </si>
  <si>
    <t>dept-acc-076</t>
  </si>
  <si>
    <t xml:space="preserve">  String attachment included  </t>
  </si>
  <si>
    <t>cust077</t>
  </si>
  <si>
    <t xml:space="preserve">  KUNAL ghosh</t>
  </si>
  <si>
    <t>kunal_ghosh@email.in</t>
  </si>
  <si>
    <t>0288-2468135</t>
  </si>
  <si>
    <t xml:space="preserve">  147 Teen Batti  </t>
  </si>
  <si>
    <t>PRD-REMOTE-077</t>
  </si>
  <si>
    <t>PIXEL wireless REMOTE shutter</t>
  </si>
  <si>
    <t>06-Jul-2025</t>
  </si>
  <si>
    <t>www.remotes.in</t>
  </si>
  <si>
    <t>REMOTE controls INDIA</t>
  </si>
  <si>
    <t>Photo Equipment</t>
  </si>
  <si>
    <t>DEPT-EQUIP-077</t>
  </si>
  <si>
    <t>100m range minimum</t>
  </si>
  <si>
    <t>Cust078</t>
  </si>
  <si>
    <t xml:space="preserve">sheetal PATEL  </t>
  </si>
  <si>
    <t>SHEETAL.PATEL@CORPORATE.IN</t>
  </si>
  <si>
    <t>+91-9123678901</t>
  </si>
  <si>
    <t>258 MG Road</t>
  </si>
  <si>
    <t>prd-timer-078</t>
  </si>
  <si>
    <t>CANON timer REMOTE tc-80n3</t>
  </si>
  <si>
    <t>13-Jul-2025</t>
  </si>
  <si>
    <t>https://timers.in</t>
  </si>
  <si>
    <t xml:space="preserve">  TIMER solutions PRO  </t>
  </si>
  <si>
    <t>TIME-LAPSE SPECIALIST</t>
  </si>
  <si>
    <t>dept-time-078</t>
  </si>
  <si>
    <t>Interval timer function</t>
  </si>
  <si>
    <t>CUST079</t>
  </si>
  <si>
    <t>vijay verma</t>
  </si>
  <si>
    <t>vijay.verma@mail.in</t>
  </si>
  <si>
    <t>(02637) 2468-9753</t>
  </si>
  <si>
    <t>369 Station Road</t>
  </si>
  <si>
    <t>prd-cable-079</t>
  </si>
  <si>
    <t>CANON hdmi CABLE hc-e1</t>
  </si>
  <si>
    <t>20-Jul-2025</t>
  </si>
  <si>
    <t>WWW.CABLES.COM</t>
  </si>
  <si>
    <t>cable SOLUTIONS cameras</t>
  </si>
  <si>
    <t>Video Engineer</t>
  </si>
  <si>
    <t>dept-video-079</t>
  </si>
  <si>
    <t xml:space="preserve">  Length: 2.9 meters  </t>
  </si>
  <si>
    <t>cust080</t>
  </si>
  <si>
    <t xml:space="preserve">  BHARTI chopra</t>
  </si>
  <si>
    <t>bharti_chopra@email.in</t>
  </si>
  <si>
    <t>02822-34567</t>
  </si>
  <si>
    <t xml:space="preserve">  741 Darbar Gadh  </t>
  </si>
  <si>
    <t>PRD-SPLITTER-080</t>
  </si>
  <si>
    <t>hdmi SPLITTER 1x4</t>
  </si>
  <si>
    <t>27-Jul-2025</t>
  </si>
  <si>
    <t>www.splitters.in</t>
  </si>
  <si>
    <t>SPLITTER store INDIA</t>
  </si>
  <si>
    <t>AV Technician</t>
  </si>
  <si>
    <t>DEPT-AV-080</t>
  </si>
  <si>
    <t>4K support required</t>
  </si>
  <si>
    <t>Cust081</t>
  </si>
  <si>
    <t xml:space="preserve">rajan BHATIA  </t>
  </si>
  <si>
    <t>RAJAN.BHATIA@COMPANY.COM</t>
  </si>
  <si>
    <t>+91-9988567890</t>
  </si>
  <si>
    <t>852 Highway Road</t>
  </si>
  <si>
    <t>prd-conv-081</t>
  </si>
  <si>
    <t>BLACKMAGIC micro CONVERTER</t>
  </si>
  <si>
    <t>03-Aug-2025</t>
  </si>
  <si>
    <t>https://converters.in</t>
  </si>
  <si>
    <t xml:space="preserve">  VIDEO converter PRO  </t>
  </si>
  <si>
    <t>BROADCAST HEAD</t>
  </si>
  <si>
    <t>dept-broad-081</t>
  </si>
  <si>
    <t>SDI to HDMI conversion</t>
  </si>
  <si>
    <t>CUST082</t>
  </si>
  <si>
    <t>chitra kumar</t>
  </si>
  <si>
    <t>chitra.kumar@mail.in</t>
  </si>
  <si>
    <t>(02752) 98765-4321</t>
  </si>
  <si>
    <t>963 ST Road</t>
  </si>
  <si>
    <t>prd-mon-082</t>
  </si>
  <si>
    <t>BLACKMAGIC video ASSIST monitor</t>
  </si>
  <si>
    <t>10-Aug-2025</t>
  </si>
  <si>
    <t>WWW.MONITORS.COM</t>
  </si>
  <si>
    <t>monitor WORLD broadcast</t>
  </si>
  <si>
    <t>Video Director</t>
  </si>
  <si>
    <t>dept-video-082</t>
  </si>
  <si>
    <t xml:space="preserve">  5 inch screen preferred  </t>
  </si>
  <si>
    <t>cust083</t>
  </si>
  <si>
    <t xml:space="preserve">  SAMEER agarwal</t>
  </si>
  <si>
    <t>sameer_agarwal@email.in</t>
  </si>
  <si>
    <t>02742-23456</t>
  </si>
  <si>
    <t xml:space="preserve">  159 Nagarpalika Road  </t>
  </si>
  <si>
    <t>PRD-CARD-083</t>
  </si>
  <si>
    <t>ATOMOS ssd RECORDER card</t>
  </si>
  <si>
    <t>17-Aug-2025</t>
  </si>
  <si>
    <t>www.recorders.in</t>
  </si>
  <si>
    <t>RECORDER solutions INDIA</t>
  </si>
  <si>
    <t>Production Manager</t>
  </si>
  <si>
    <t>DEPT-PROD-083</t>
  </si>
  <si>
    <t>1TB capacity minimum</t>
  </si>
  <si>
    <t>Cust084</t>
  </si>
  <si>
    <t xml:space="preserve">preeti MALHOTRA  </t>
  </si>
  <si>
    <t>PREETI.MALHOTRA@CORPORATE.IN</t>
  </si>
  <si>
    <t>+91-9876678901</t>
  </si>
  <si>
    <t>357 College Road</t>
  </si>
  <si>
    <t>prd-cage-084</t>
  </si>
  <si>
    <t>SMALLRIG camera CAGE</t>
  </si>
  <si>
    <t>24-Aug-2025</t>
  </si>
  <si>
    <t>https://rigs.in</t>
  </si>
  <si>
    <t xml:space="preserve">  RIG accessories PRO  </t>
  </si>
  <si>
    <t>CINEMATOGRAPHER</t>
  </si>
  <si>
    <t>dept-cinema-084</t>
  </si>
  <si>
    <t>Cold shoe mounts needed</t>
  </si>
  <si>
    <t>CUST085</t>
  </si>
  <si>
    <t>rajiv rao</t>
  </si>
  <si>
    <t>rajiv.rao@mail.in</t>
  </si>
  <si>
    <t>(02678) 2468-135</t>
  </si>
  <si>
    <t>753 ST Bus Stand</t>
  </si>
  <si>
    <t>prd-handle-085</t>
  </si>
  <si>
    <t>SMALLRIG top HANDLE nato</t>
  </si>
  <si>
    <t>31-Aug-2025</t>
  </si>
  <si>
    <t>WWW.HANDLES.COM</t>
  </si>
  <si>
    <t>handle SOLUTIONS cinema</t>
  </si>
  <si>
    <t>Grip Operator</t>
  </si>
  <si>
    <t>dept-grip-085</t>
  </si>
  <si>
    <t xml:space="preserve">  NATO rail compatible  </t>
  </si>
  <si>
    <t>cust086</t>
  </si>
  <si>
    <t xml:space="preserve">  KAVERI kapoor</t>
  </si>
  <si>
    <t>kaveri_kapoor@email.in</t>
  </si>
  <si>
    <t>02672-34567</t>
  </si>
  <si>
    <t xml:space="preserve">  951 Khambhat Road  </t>
  </si>
  <si>
    <t>PRD-CLAMP-086</t>
  </si>
  <si>
    <t>SMALLRIG super CLAMP</t>
  </si>
  <si>
    <t>07-Sep-2025</t>
  </si>
  <si>
    <t>www.clamps.in</t>
  </si>
  <si>
    <t>CLAMP store INDIA</t>
  </si>
  <si>
    <t>Rigging Specialist</t>
  </si>
  <si>
    <t>DEPT-RIG-086</t>
  </si>
  <si>
    <t>1/4 and 3/8 threads</t>
  </si>
  <si>
    <t>Cust087</t>
  </si>
  <si>
    <t xml:space="preserve">aryan BAJAJ  </t>
  </si>
  <si>
    <t>ARYAN.BAJAJ@COMPANY.IN</t>
  </si>
  <si>
    <t>+91-9123789012</t>
  </si>
  <si>
    <t>147 Railway Station</t>
  </si>
  <si>
    <t>prd-arm-087</t>
  </si>
  <si>
    <t>MANFROTTO magic ARM</t>
  </si>
  <si>
    <t>14-Sep-2025</t>
  </si>
  <si>
    <t>https://arms.in</t>
  </si>
  <si>
    <t xml:space="preserve">  MAGIC arm solutions  </t>
  </si>
  <si>
    <t>CAMERA SUPPORT</t>
  </si>
  <si>
    <t>dept-support-087</t>
  </si>
  <si>
    <t>Variable friction needed</t>
  </si>
  <si>
    <t>CUST088</t>
  </si>
  <si>
    <t>sangita chauhan</t>
  </si>
  <si>
    <t>sangita.chauhan@mail.in</t>
  </si>
  <si>
    <t>(0281) 9876-5432</t>
  </si>
  <si>
    <t>258 Jawahar Road</t>
  </si>
  <si>
    <t>prd-plate-088</t>
  </si>
  <si>
    <t>ARCA swiss quick RELEASE plate</t>
  </si>
  <si>
    <t>21-Sep-2025</t>
  </si>
  <si>
    <t>WWW.PLATES.COM</t>
  </si>
  <si>
    <t>quick RELEASE india</t>
  </si>
  <si>
    <t>Camera Assistant</t>
  </si>
  <si>
    <t>dept-assist-088</t>
  </si>
  <si>
    <t xml:space="preserve">  Arca-Swiss standard  </t>
  </si>
  <si>
    <t>cust089</t>
  </si>
  <si>
    <t xml:space="preserve">  LALIT agarwal</t>
  </si>
  <si>
    <t>lalit_agarwal@email.in</t>
  </si>
  <si>
    <t>02837-23456</t>
  </si>
  <si>
    <t xml:space="preserve">  369 ST Stand  </t>
  </si>
  <si>
    <t>PRD-HEAD-089</t>
  </si>
  <si>
    <t>MANFROTTO ball HEAD</t>
  </si>
  <si>
    <t>28-Sep-2025</t>
  </si>
  <si>
    <t>www.heads.in</t>
  </si>
  <si>
    <t>TRIPOD head SOLUTIONS</t>
  </si>
  <si>
    <t>Product Photographer</t>
  </si>
  <si>
    <t>DEPT-PHOTO-089</t>
  </si>
  <si>
    <t>Load capacity: 10kg</t>
  </si>
  <si>
    <t>Cust090</t>
  </si>
  <si>
    <t xml:space="preserve">shilpa SHARMA  </t>
  </si>
  <si>
    <t>SHILPA.SHARMA@CORPORATE.IN</t>
  </si>
  <si>
    <t>+91-9988678901</t>
  </si>
  <si>
    <t>741 Gandhidham</t>
  </si>
  <si>
    <t>prd-mono-090</t>
  </si>
  <si>
    <t>SIRUI carbon FIBER monopod</t>
  </si>
  <si>
    <t>05-Oct-2025</t>
  </si>
  <si>
    <t>https://monopods.in</t>
  </si>
  <si>
    <t xml:space="preserve">  MONOPOD world PRO  </t>
  </si>
  <si>
    <t>SPORTS PHOTOGRAPHER</t>
  </si>
  <si>
    <t>dept-sports-090</t>
  </si>
  <si>
    <t>5 section legs preferred</t>
  </si>
  <si>
    <t>CUST091</t>
  </si>
  <si>
    <t>devendra chawla</t>
  </si>
  <si>
    <t>devendra.chawla@mail.in</t>
  </si>
  <si>
    <t>(02844) 2468-9753</t>
  </si>
  <si>
    <t>852 Station Road</t>
  </si>
  <si>
    <t>prd-slider-091</t>
  </si>
  <si>
    <t>NEEWER camera SLIDER 31 inch</t>
  </si>
  <si>
    <t>12-Oct-2025</t>
  </si>
  <si>
    <t>WWW.SLIDERS.COM</t>
  </si>
  <si>
    <t>slider SOLUTIONS cinema</t>
  </si>
  <si>
    <t>Videographer</t>
  </si>
  <si>
    <t>dept-video-091</t>
  </si>
  <si>
    <t xml:space="preserve">  Flywheel system included  </t>
  </si>
  <si>
    <t>cust092</t>
  </si>
  <si>
    <t xml:space="preserve">  NAINA pandey</t>
  </si>
  <si>
    <t>naina_pandey@email.in</t>
  </si>
  <si>
    <t>02766-34567</t>
  </si>
  <si>
    <t xml:space="preserve">  963 Main Bazar  </t>
  </si>
  <si>
    <t>PRD-STAB-092</t>
  </si>
  <si>
    <t>DJI ronin STABILIZER sc</t>
  </si>
  <si>
    <t>19-Oct-2025</t>
  </si>
  <si>
    <t>www.stabilizers.in</t>
  </si>
  <si>
    <t>STABILIZER store INDIA</t>
  </si>
  <si>
    <t>Gimbal Operator</t>
  </si>
  <si>
    <t>DEPT-GIMBAL-092</t>
  </si>
  <si>
    <t>3-axis gimbal needed</t>
  </si>
  <si>
    <t>Cust093</t>
  </si>
  <si>
    <t xml:space="preserve">mahesh YADAV  </t>
  </si>
  <si>
    <t>MAHESH.YADAV@COMPANY.IN</t>
  </si>
  <si>
    <t>+91-9876789012</t>
  </si>
  <si>
    <t>159 Highway</t>
  </si>
  <si>
    <t>prd-follow-093</t>
  </si>
  <si>
    <t>TILTA follow FOCUS system</t>
  </si>
  <si>
    <t>26-Oct-2025</t>
  </si>
  <si>
    <t>https://focus.in</t>
  </si>
  <si>
    <t xml:space="preserve">  FOCUS systems PRO  </t>
  </si>
  <si>
    <t>FOCUS PULLER</t>
  </si>
  <si>
    <t>dept-focus-093</t>
  </si>
  <si>
    <t>Wireless option preferred</t>
  </si>
  <si>
    <t>CUST094</t>
  </si>
  <si>
    <t>anjana jain</t>
  </si>
  <si>
    <t>anjana.jain@mail.in</t>
  </si>
  <si>
    <t>(02764) 9876-0123</t>
  </si>
  <si>
    <t>prd-matt-094</t>
  </si>
  <si>
    <t>ARRI matte BOX lmb-25</t>
  </si>
  <si>
    <t>02-Nov-2025</t>
  </si>
  <si>
    <t>WWW.MATTEBOX.COM</t>
  </si>
  <si>
    <t>matte BOX solutions</t>
  </si>
  <si>
    <t>Cinematographer</t>
  </si>
  <si>
    <t>dept-cinema-094</t>
  </si>
  <si>
    <t xml:space="preserve">  2-stage design needed  </t>
  </si>
  <si>
    <t>cust095</t>
  </si>
  <si>
    <t xml:space="preserve">  SUBHASH khanna</t>
  </si>
  <si>
    <t>subhash_khanna@email.in</t>
  </si>
  <si>
    <t>02791-23456</t>
  </si>
  <si>
    <t xml:space="preserve">  741 Beach Road  </t>
  </si>
  <si>
    <t>PRD-FLAG-095</t>
  </si>
  <si>
    <t>ARRI flag SET 18x24</t>
  </si>
  <si>
    <t>09-Nov-2025</t>
  </si>
  <si>
    <t>www.flags.in</t>
  </si>
  <si>
    <t>LIGHTING flag INDIA</t>
  </si>
  <si>
    <t>Gaffer</t>
  </si>
  <si>
    <t>DEPT-LIGHT-095</t>
  </si>
  <si>
    <t>Solid and net flags</t>
  </si>
  <si>
    <t>Cust096</t>
  </si>
  <si>
    <t xml:space="preserve">pushpa KUMAR  </t>
  </si>
  <si>
    <t>PUSHPA.KUMAR@CORPORATE.IN</t>
  </si>
  <si>
    <t>852 Port Road</t>
  </si>
  <si>
    <t>prd-diff-096</t>
  </si>
  <si>
    <t>WESTCOTT scrim JIM diffusion</t>
  </si>
  <si>
    <t>16-Nov-2025</t>
  </si>
  <si>
    <t>https://diffusion.in</t>
  </si>
  <si>
    <t xml:space="preserve">  DIFFUSION materials PRO  </t>
  </si>
  <si>
    <t>LIGHTING DIRECTOR</t>
  </si>
  <si>
    <t>dept-light-096</t>
  </si>
  <si>
    <t>8x8 feet frame size</t>
  </si>
  <si>
    <t>CUST097</t>
  </si>
  <si>
    <t>jatin mishra</t>
  </si>
  <si>
    <t>jatin.mishra@mail.in</t>
  </si>
  <si>
    <t>(02763) 2468-135</t>
  </si>
  <si>
    <t>963 Highway</t>
  </si>
  <si>
    <t>prd-cstand-097</t>
  </si>
  <si>
    <t>KUPO c-STAND 40 inch</t>
  </si>
  <si>
    <t>23-Nov-2025</t>
  </si>
  <si>
    <t>WWW.STANDS.COM</t>
  </si>
  <si>
    <t>c-STAND world INDIA</t>
  </si>
  <si>
    <t>Grip</t>
  </si>
  <si>
    <t>dept-grip-097</t>
  </si>
  <si>
    <t xml:space="preserve">  Turtle base included  </t>
  </si>
  <si>
    <t>cust098</t>
  </si>
  <si>
    <t xml:space="preserve">  LALITA singh</t>
  </si>
  <si>
    <t>lalita_singh@email.in</t>
  </si>
  <si>
    <t>02821-34567</t>
  </si>
  <si>
    <t xml:space="preserve">  147 Main Street  </t>
  </si>
  <si>
    <t>PRD-SAND-098</t>
  </si>
  <si>
    <t>SHOT BAG sand BAG 25lb</t>
  </si>
  <si>
    <t>30-Nov-2025</t>
  </si>
  <si>
    <t>www.sandbags.in</t>
  </si>
  <si>
    <t>SANDBAG solutions cinema</t>
  </si>
  <si>
    <t>Set Assistant</t>
  </si>
  <si>
    <t>DEPT-SET-098</t>
  </si>
  <si>
    <t>Empty bag, fillable</t>
  </si>
  <si>
    <t>Cust099</t>
  </si>
  <si>
    <t xml:space="preserve">pramod TIWARI  </t>
  </si>
  <si>
    <t>PRAMOD.TIWARI@COMPANY.COM</t>
  </si>
  <si>
    <t>+91-9988789012</t>
  </si>
  <si>
    <t>258 Station Road</t>
  </si>
  <si>
    <t>prd-apple-099</t>
  </si>
  <si>
    <t>APPLE box FULL pancake</t>
  </si>
  <si>
    <t>07-Dec-2025</t>
  </si>
  <si>
    <t>https://applebox.in</t>
  </si>
  <si>
    <t xml:space="preserve">  APPLE box PRO  </t>
  </si>
  <si>
    <t>KEY GRIP</t>
  </si>
  <si>
    <t>dept-grip-099</t>
  </si>
  <si>
    <t>Set of 4 boxes</t>
  </si>
  <si>
    <t>Cust100</t>
  </si>
  <si>
    <t xml:space="preserve">radha PILLAI  </t>
  </si>
  <si>
    <t>RADHA.PILLAI@CORPORATE.IN</t>
  </si>
  <si>
    <t>(02678) 9876-5432</t>
  </si>
  <si>
    <t>369 Highway Road</t>
  </si>
  <si>
    <t>prd-tape-100</t>
  </si>
  <si>
    <t>GAFFER tape 2 INCH black</t>
  </si>
  <si>
    <t>14-Dec-2025</t>
  </si>
  <si>
    <t>WWW.TAPE.COM</t>
  </si>
  <si>
    <t>gaffer TAPE world</t>
  </si>
  <si>
    <t>Production Assistant</t>
  </si>
  <si>
    <t>dept-prod-100</t>
  </si>
  <si>
    <t xml:space="preserve">  Residue-free removal  </t>
  </si>
  <si>
    <t>que1</t>
  </si>
  <si>
    <t>que2</t>
  </si>
  <si>
    <t>que3</t>
  </si>
  <si>
    <t>que4</t>
  </si>
  <si>
    <t>que5</t>
  </si>
  <si>
    <t>que6</t>
  </si>
  <si>
    <t>que7</t>
  </si>
  <si>
    <t>que8</t>
  </si>
  <si>
    <t>que9</t>
  </si>
  <si>
    <t>que10</t>
  </si>
  <si>
    <t>que11</t>
  </si>
  <si>
    <t>que12</t>
  </si>
  <si>
    <t>que13</t>
  </si>
  <si>
    <t>que14</t>
  </si>
  <si>
    <t>que15</t>
  </si>
  <si>
    <t>que16</t>
  </si>
  <si>
    <t>que17</t>
  </si>
  <si>
    <t>que18</t>
  </si>
  <si>
    <t>que19</t>
  </si>
  <si>
    <t>que20</t>
  </si>
  <si>
    <t>que21</t>
  </si>
  <si>
    <t>que22</t>
  </si>
  <si>
    <t>que23</t>
  </si>
  <si>
    <t>que24</t>
  </si>
  <si>
    <t>que25</t>
  </si>
  <si>
    <t>que26</t>
  </si>
  <si>
    <t>que27</t>
  </si>
  <si>
    <t>que28</t>
  </si>
  <si>
    <t>que29</t>
  </si>
  <si>
    <t>que30</t>
  </si>
  <si>
    <t>que31</t>
  </si>
  <si>
    <t>que32</t>
  </si>
  <si>
    <t>que33</t>
  </si>
  <si>
    <t>que34</t>
  </si>
  <si>
    <t>que35</t>
  </si>
  <si>
    <t>que36</t>
  </si>
  <si>
    <t>que37</t>
  </si>
  <si>
    <t>que38</t>
  </si>
  <si>
    <t>que39</t>
  </si>
  <si>
    <t>que40</t>
  </si>
  <si>
    <t>que41</t>
  </si>
  <si>
    <t>que42</t>
  </si>
  <si>
    <t>que43</t>
  </si>
  <si>
    <t>que44</t>
  </si>
  <si>
    <t>que45</t>
  </si>
  <si>
    <t>que46</t>
  </si>
  <si>
    <t>que47</t>
  </si>
  <si>
    <t>que48</t>
  </si>
  <si>
    <t>que49</t>
  </si>
  <si>
    <t>que50</t>
  </si>
  <si>
    <t>que51</t>
  </si>
  <si>
    <t>que52</t>
  </si>
  <si>
    <t>que53</t>
  </si>
  <si>
    <t>que54</t>
  </si>
  <si>
    <t>que55</t>
  </si>
  <si>
    <t>que56</t>
  </si>
  <si>
    <t>que57</t>
  </si>
  <si>
    <t>que58</t>
  </si>
  <si>
    <t>que59</t>
  </si>
  <si>
    <t>que60</t>
  </si>
  <si>
    <t>que61</t>
  </si>
  <si>
    <t>que62</t>
  </si>
  <si>
    <t>que63</t>
  </si>
  <si>
    <t>que64</t>
  </si>
  <si>
    <t>que65</t>
  </si>
  <si>
    <t>que66</t>
  </si>
  <si>
    <t>que67</t>
  </si>
  <si>
    <t>que68</t>
  </si>
  <si>
    <t>que69</t>
  </si>
  <si>
    <t>que70</t>
  </si>
  <si>
    <t>que71</t>
  </si>
  <si>
    <t>que72</t>
  </si>
  <si>
    <t>que73</t>
  </si>
  <si>
    <t>que74</t>
  </si>
  <si>
    <t>que75</t>
  </si>
  <si>
    <t>que76</t>
  </si>
  <si>
    <t>que77</t>
  </si>
  <si>
    <t>que78</t>
  </si>
  <si>
    <t>que79</t>
  </si>
  <si>
    <t>que80</t>
  </si>
  <si>
    <t>que81</t>
  </si>
  <si>
    <t>que82</t>
  </si>
  <si>
    <t>que83</t>
  </si>
  <si>
    <t>que84</t>
  </si>
  <si>
    <t>que85</t>
  </si>
  <si>
    <t>que86</t>
  </si>
  <si>
    <t>que87</t>
  </si>
  <si>
    <t>que88</t>
  </si>
  <si>
    <t>que89</t>
  </si>
  <si>
    <t>que90</t>
  </si>
  <si>
    <t>que91</t>
  </si>
  <si>
    <t>que92</t>
  </si>
  <si>
    <t>que93</t>
  </si>
  <si>
    <t>que94</t>
  </si>
  <si>
    <t>que95</t>
  </si>
  <si>
    <t>que96</t>
  </si>
  <si>
    <t>que97</t>
  </si>
  <si>
    <t>que98</t>
  </si>
  <si>
    <t>que99</t>
  </si>
  <si>
    <t>que100</t>
  </si>
  <si>
    <t>que101</t>
  </si>
  <si>
    <t>que102</t>
  </si>
  <si>
    <t>firstname</t>
  </si>
  <si>
    <t>lastname</t>
  </si>
  <si>
    <t>rajesh</t>
  </si>
  <si>
    <t>KUMAR</t>
  </si>
  <si>
    <t>PRIYA</t>
  </si>
  <si>
    <t>sharma</t>
  </si>
  <si>
    <t>amit</t>
  </si>
  <si>
    <t>PATEL</t>
  </si>
  <si>
    <t>sneha</t>
  </si>
  <si>
    <t>REDDY</t>
  </si>
  <si>
    <t>RAHUL</t>
  </si>
  <si>
    <t>verma</t>
  </si>
  <si>
    <t>anita</t>
  </si>
  <si>
    <t>SINGH</t>
  </si>
  <si>
    <t>vikram</t>
  </si>
  <si>
    <t>mehta</t>
  </si>
  <si>
    <t>NEHA</t>
  </si>
  <si>
    <t>gupta</t>
  </si>
  <si>
    <t>sanjay</t>
  </si>
  <si>
    <t>JOSHI</t>
  </si>
  <si>
    <t>kavita</t>
  </si>
  <si>
    <t>DESAI</t>
  </si>
  <si>
    <t>ARJUN</t>
  </si>
  <si>
    <t>nair</t>
  </si>
  <si>
    <t>pooja</t>
  </si>
  <si>
    <t>IYER</t>
  </si>
  <si>
    <t>karan</t>
  </si>
  <si>
    <t>malhotra</t>
  </si>
  <si>
    <t>RITU</t>
  </si>
  <si>
    <t>bajaj</t>
  </si>
  <si>
    <t>manish</t>
  </si>
  <si>
    <t>KAPOOR</t>
  </si>
  <si>
    <t>divya</t>
  </si>
  <si>
    <t>menon</t>
  </si>
  <si>
    <t>ROHIT</t>
  </si>
  <si>
    <t>saxena</t>
  </si>
  <si>
    <t>swati</t>
  </si>
  <si>
    <t>PILLAI</t>
  </si>
  <si>
    <t>aditya</t>
  </si>
  <si>
    <t>RAO</t>
  </si>
  <si>
    <t>MEGHA</t>
  </si>
  <si>
    <t>kulkarni</t>
  </si>
  <si>
    <t>vishal</t>
  </si>
  <si>
    <t>CHAUHAN</t>
  </si>
  <si>
    <t>shruti</t>
  </si>
  <si>
    <t>agarwal</t>
  </si>
  <si>
    <t>NIKHIL</t>
  </si>
  <si>
    <t>anjali</t>
  </si>
  <si>
    <t>CHAWLA</t>
  </si>
  <si>
    <t>gaurav</t>
  </si>
  <si>
    <t>PANDEY</t>
  </si>
  <si>
    <t>PRIYANKA</t>
  </si>
  <si>
    <t>yadav</t>
  </si>
  <si>
    <t>deepak</t>
  </si>
  <si>
    <t>JAIN</t>
  </si>
  <si>
    <t>nidhi</t>
  </si>
  <si>
    <t>khanna</t>
  </si>
  <si>
    <t>SURESH</t>
  </si>
  <si>
    <t>kumar</t>
  </si>
  <si>
    <t>aarti</t>
  </si>
  <si>
    <t>MISHRA</t>
  </si>
  <si>
    <t>tarun</t>
  </si>
  <si>
    <t>singh</t>
  </si>
  <si>
    <t>SIMRAN</t>
  </si>
  <si>
    <t>kaur</t>
  </si>
  <si>
    <t>alok</t>
  </si>
  <si>
    <t>TIWARI</t>
  </si>
  <si>
    <t>radhika</t>
  </si>
  <si>
    <t>pillai</t>
  </si>
  <si>
    <t>HARISH</t>
  </si>
  <si>
    <t>reddy</t>
  </si>
  <si>
    <t>madhuri</t>
  </si>
  <si>
    <t>DESHMUKH</t>
  </si>
  <si>
    <t>sumit</t>
  </si>
  <si>
    <t>ghosh</t>
  </si>
  <si>
    <t>GEETA</t>
  </si>
  <si>
    <t>ramesh</t>
  </si>
  <si>
    <t>sunita</t>
  </si>
  <si>
    <t>VIVEK</t>
  </si>
  <si>
    <t>chopra</t>
  </si>
  <si>
    <t>sapna</t>
  </si>
  <si>
    <t>BHATIA</t>
  </si>
  <si>
    <t>ashish</t>
  </si>
  <si>
    <t>REKHA</t>
  </si>
  <si>
    <t>mohit</t>
  </si>
  <si>
    <t>AGARWAL</t>
  </si>
  <si>
    <t>kamini</t>
  </si>
  <si>
    <t>rao</t>
  </si>
  <si>
    <t>AJAY</t>
  </si>
  <si>
    <t>lata</t>
  </si>
  <si>
    <t>SHARMA</t>
  </si>
  <si>
    <t>naveen</t>
  </si>
  <si>
    <t>PALLAVI</t>
  </si>
  <si>
    <t>iyer</t>
  </si>
  <si>
    <t>sachin</t>
  </si>
  <si>
    <t>komal</t>
  </si>
  <si>
    <t>PANKAJ</t>
  </si>
  <si>
    <t>mishra</t>
  </si>
  <si>
    <t>usha</t>
  </si>
  <si>
    <t>ravi</t>
  </si>
  <si>
    <t>kapoor</t>
  </si>
  <si>
    <t>SHWETA</t>
  </si>
  <si>
    <t>dinesh</t>
  </si>
  <si>
    <t>NAIR</t>
  </si>
  <si>
    <t>ananya</t>
  </si>
  <si>
    <t>BHARAT</t>
  </si>
  <si>
    <t>patel</t>
  </si>
  <si>
    <t>meera</t>
  </si>
  <si>
    <t>KULKARNI</t>
  </si>
  <si>
    <t>sandeep</t>
  </si>
  <si>
    <t>chauhan</t>
  </si>
  <si>
    <t>RASHMI</t>
  </si>
  <si>
    <t>anil</t>
  </si>
  <si>
    <t>shalini</t>
  </si>
  <si>
    <t>chawla</t>
  </si>
  <si>
    <t>MANOJ</t>
  </si>
  <si>
    <t>pandey</t>
  </si>
  <si>
    <t>jaya</t>
  </si>
  <si>
    <t>YADAV</t>
  </si>
  <si>
    <t>prakash</t>
  </si>
  <si>
    <t>jain</t>
  </si>
  <si>
    <t>LEELA</t>
  </si>
  <si>
    <t>yogesh</t>
  </si>
  <si>
    <t>nisha</t>
  </si>
  <si>
    <t>SUNIL</t>
  </si>
  <si>
    <t>vandana</t>
  </si>
  <si>
    <t>akash</t>
  </si>
  <si>
    <t>RUPA</t>
  </si>
  <si>
    <t>hemant</t>
  </si>
  <si>
    <t>tina</t>
  </si>
  <si>
    <t>KUNAL</t>
  </si>
  <si>
    <t>sheetal</t>
  </si>
  <si>
    <t>vijay</t>
  </si>
  <si>
    <t>BHARTI</t>
  </si>
  <si>
    <t>rajan</t>
  </si>
  <si>
    <t>chitra</t>
  </si>
  <si>
    <t>SAMEER</t>
  </si>
  <si>
    <t>preeti</t>
  </si>
  <si>
    <t>MALHOTRA</t>
  </si>
  <si>
    <t>rajiv</t>
  </si>
  <si>
    <t>KAVERI</t>
  </si>
  <si>
    <t>aryan</t>
  </si>
  <si>
    <t>BAJAJ</t>
  </si>
  <si>
    <t>sangita</t>
  </si>
  <si>
    <t>LALIT</t>
  </si>
  <si>
    <t>shilpa</t>
  </si>
  <si>
    <t>devendra</t>
  </si>
  <si>
    <t>NAINA</t>
  </si>
  <si>
    <t>mahesh</t>
  </si>
  <si>
    <t>anjana</t>
  </si>
  <si>
    <t>SUBHASH</t>
  </si>
  <si>
    <t>pushpa</t>
  </si>
  <si>
    <t>jatin</t>
  </si>
  <si>
    <t>LALITA</t>
  </si>
  <si>
    <t>pramod</t>
  </si>
  <si>
    <t>radha</t>
  </si>
  <si>
    <t>City</t>
  </si>
  <si>
    <t xml:space="preserve"> State</t>
  </si>
  <si>
    <t xml:space="preserve"> ZIP</t>
  </si>
  <si>
    <t>Mumbai</t>
  </si>
  <si>
    <t xml:space="preserve"> Maharashtra</t>
  </si>
  <si>
    <t>delhi</t>
  </si>
  <si>
    <t xml:space="preserve"> DELHI</t>
  </si>
  <si>
    <t>Bangalore</t>
  </si>
  <si>
    <t xml:space="preserve"> Karnataka</t>
  </si>
  <si>
    <t>hyderabad</t>
  </si>
  <si>
    <t xml:space="preserve"> Telangana</t>
  </si>
  <si>
    <t>MUMBAI</t>
  </si>
  <si>
    <t xml:space="preserve"> maharashtra</t>
  </si>
  <si>
    <t xml:space="preserve"> KARNATAKA</t>
  </si>
  <si>
    <t>chennai</t>
  </si>
  <si>
    <t xml:space="preserve"> Tamil Nadu</t>
  </si>
  <si>
    <t>DELHI</t>
  </si>
  <si>
    <t xml:space="preserve"> Delhi</t>
  </si>
  <si>
    <t>Ahmedabad</t>
  </si>
  <si>
    <t xml:space="preserve"> gujarat</t>
  </si>
  <si>
    <t>surat</t>
  </si>
  <si>
    <t xml:space="preserve"> Gujarat</t>
  </si>
  <si>
    <t>BANGALORE</t>
  </si>
  <si>
    <t xml:space="preserve"> karnataka</t>
  </si>
  <si>
    <t xml:space="preserve"> MAHARASHTRA</t>
  </si>
  <si>
    <t>chandigarh</t>
  </si>
  <si>
    <t xml:space="preserve"> CHANDIGARH</t>
  </si>
  <si>
    <t>JAIPUR</t>
  </si>
  <si>
    <t xml:space="preserve"> Rajasthan</t>
  </si>
  <si>
    <t>Pune</t>
  </si>
  <si>
    <t>kochi</t>
  </si>
  <si>
    <t xml:space="preserve"> Kerala</t>
  </si>
  <si>
    <t>LUCKNOW</t>
  </si>
  <si>
    <t xml:space="preserve"> uttar pradesh</t>
  </si>
  <si>
    <t>Thiruvananthapuram</t>
  </si>
  <si>
    <t xml:space="preserve"> KERALA</t>
  </si>
  <si>
    <t>visakhapatnam</t>
  </si>
  <si>
    <t xml:space="preserve"> Andhra Pradesh</t>
  </si>
  <si>
    <t>NAGPUR</t>
  </si>
  <si>
    <t>Indore</t>
  </si>
  <si>
    <t xml:space="preserve"> MADHYA PRADESH</t>
  </si>
  <si>
    <t>bangalore</t>
  </si>
  <si>
    <t xml:space="preserve"> KARNATANA</t>
  </si>
  <si>
    <t>BHOPAL</t>
  </si>
  <si>
    <t xml:space="preserve"> Madhya Pradesh</t>
  </si>
  <si>
    <t>Chandigarh</t>
  </si>
  <si>
    <t>kanpur</t>
  </si>
  <si>
    <t xml:space="preserve"> Uttar Pradesh</t>
  </si>
  <si>
    <t>PATNA</t>
  </si>
  <si>
    <t xml:space="preserve"> Bihar</t>
  </si>
  <si>
    <t>Raipur</t>
  </si>
  <si>
    <t xml:space="preserve"> CHHATTISGARH</t>
  </si>
  <si>
    <t>ludhiana</t>
  </si>
  <si>
    <t xml:space="preserve"> PUNJAB</t>
  </si>
  <si>
    <t>COIMBATORE</t>
  </si>
  <si>
    <t>Vadodara</t>
  </si>
  <si>
    <t xml:space="preserve"> GUJARAT</t>
  </si>
  <si>
    <t>gurgaon</t>
  </si>
  <si>
    <t xml:space="preserve"> HARYANA</t>
  </si>
  <si>
    <t>AMRITSAR</t>
  </si>
  <si>
    <t xml:space="preserve"> Punjab</t>
  </si>
  <si>
    <t>Varanasi</t>
  </si>
  <si>
    <t xml:space="preserve"> UTTAR PRADESH</t>
  </si>
  <si>
    <t>mysore</t>
  </si>
  <si>
    <t>HYDERABAD</t>
  </si>
  <si>
    <t>Nashik</t>
  </si>
  <si>
    <t>kolkata</t>
  </si>
  <si>
    <t xml:space="preserve"> WEST BENGAL</t>
  </si>
  <si>
    <t>TRIVANDRUM</t>
  </si>
  <si>
    <t>Rajkot</t>
  </si>
  <si>
    <t>meerut</t>
  </si>
  <si>
    <t>NOIDA</t>
  </si>
  <si>
    <t>Faridabad</t>
  </si>
  <si>
    <t>ranchi</t>
  </si>
  <si>
    <t xml:space="preserve"> JHARKHAND</t>
  </si>
  <si>
    <t>GUWAHATI</t>
  </si>
  <si>
    <t xml:space="preserve"> Assam</t>
  </si>
  <si>
    <t>Dehradun</t>
  </si>
  <si>
    <t xml:space="preserve"> UTTARAKHAND</t>
  </si>
  <si>
    <t>mangalore</t>
  </si>
  <si>
    <t>SHIMLA</t>
  </si>
  <si>
    <t xml:space="preserve"> Himachal Pradesh</t>
  </si>
  <si>
    <t>Jammu</t>
  </si>
  <si>
    <t xml:space="preserve"> JAMMU AND KASHMIR</t>
  </si>
  <si>
    <t>srinagar</t>
  </si>
  <si>
    <t>HUBLI</t>
  </si>
  <si>
    <t>agra</t>
  </si>
  <si>
    <t>ALLAHABAD</t>
  </si>
  <si>
    <t>Warangal</t>
  </si>
  <si>
    <t xml:space="preserve"> TELANGANA</t>
  </si>
  <si>
    <t>ghaziabad</t>
  </si>
  <si>
    <t>ALIGARH</t>
  </si>
  <si>
    <t>Ernakulam</t>
  </si>
  <si>
    <t>kollam</t>
  </si>
  <si>
    <t>VAPI</t>
  </si>
  <si>
    <t>Solapur</t>
  </si>
  <si>
    <t>jaipur</t>
  </si>
  <si>
    <t xml:space="preserve"> RAJASTHAN</t>
  </si>
  <si>
    <t>JODHPUR</t>
  </si>
  <si>
    <t>Udaipur</t>
  </si>
  <si>
    <t>kota</t>
  </si>
  <si>
    <t>AJMER</t>
  </si>
  <si>
    <t>Bikaner</t>
  </si>
  <si>
    <t>sikar</t>
  </si>
  <si>
    <t>BHARATPUR</t>
  </si>
  <si>
    <t>Alwar</t>
  </si>
  <si>
    <t>bhilwara</t>
  </si>
  <si>
    <t>SURAT</t>
  </si>
  <si>
    <t>gandhinagar</t>
  </si>
  <si>
    <t>JUNAGADH</t>
  </si>
  <si>
    <t>Bhavnagar</t>
  </si>
  <si>
    <t>anand</t>
  </si>
  <si>
    <t>JAMNAGAR</t>
  </si>
  <si>
    <t>Porbandar</t>
  </si>
  <si>
    <t>navsari</t>
  </si>
  <si>
    <t>MORBI</t>
  </si>
  <si>
    <t>Mehsana</t>
  </si>
  <si>
    <t>surendranagar</t>
  </si>
  <si>
    <t>PALANPUR</t>
  </si>
  <si>
    <t>Veraval</t>
  </si>
  <si>
    <t>dahod</t>
  </si>
  <si>
    <t>GODHRA</t>
  </si>
  <si>
    <t>rajkot</t>
  </si>
  <si>
    <t>BHUJ</t>
  </si>
  <si>
    <t>Amreli</t>
  </si>
  <si>
    <t>botad</t>
  </si>
  <si>
    <t>PATAN</t>
  </si>
  <si>
    <t>Modasa</t>
  </si>
  <si>
    <t>khambhat</t>
  </si>
  <si>
    <t>RAJULA</t>
  </si>
  <si>
    <t>Mandvi</t>
  </si>
  <si>
    <t>deesa</t>
  </si>
  <si>
    <t>DHORAJI</t>
  </si>
  <si>
    <t>Upleta</t>
  </si>
  <si>
    <t>Una</t>
  </si>
  <si>
    <t>city,state,zip</t>
  </si>
  <si>
    <t>que103</t>
  </si>
  <si>
    <t>que104</t>
  </si>
  <si>
    <t>que105</t>
  </si>
  <si>
    <t>que106</t>
  </si>
  <si>
    <t>que107</t>
  </si>
  <si>
    <t>que108</t>
  </si>
  <si>
    <t>que109</t>
  </si>
  <si>
    <t>que110</t>
  </si>
  <si>
    <t>que111</t>
  </si>
  <si>
    <t>que112</t>
  </si>
  <si>
    <t>que113</t>
  </si>
  <si>
    <t>que114</t>
  </si>
  <si>
    <t>que115</t>
  </si>
  <si>
    <t>que116</t>
  </si>
  <si>
    <t>que117</t>
  </si>
  <si>
    <t>que118</t>
  </si>
  <si>
    <t>que119</t>
  </si>
  <si>
    <t>que120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</si>
</sst>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01"/>
  <sheetViews>
    <sheetView tabSelected="1" topLeftCell="CJ1" workbookViewId="0">
      <selection activeCell="CY6" sqref="CY6"/>
    </sheetView>
  </sheetViews>
  <sheetFormatPr defaultRowHeight="14.4" x14ac:dyDescent="0.3"/>
  <cols>
    <col min="1" max="1" width="12" customWidth="1"/>
    <col min="2" max="2" width="17.88671875" bestFit="1" customWidth="1"/>
    <col min="3" max="3" width="12" customWidth="1"/>
    <col min="4" max="4" width="22" customWidth="1"/>
    <col min="5" max="5" width="30" customWidth="1"/>
    <col min="6" max="6" width="18" customWidth="1"/>
    <col min="7" max="7" width="22" customWidth="1"/>
    <col min="8" max="11" width="25" customWidth="1"/>
    <col min="12" max="12" width="16" customWidth="1"/>
    <col min="13" max="13" width="30" customWidth="1"/>
    <col min="14" max="15" width="14" customWidth="1"/>
    <col min="16" max="17" width="28" customWidth="1"/>
    <col min="18" max="18" width="22" customWidth="1"/>
    <col min="19" max="19" width="18" customWidth="1"/>
    <col min="20" max="20" width="28" customWidth="1"/>
    <col min="21" max="21" width="20.33203125" bestFit="1" customWidth="1"/>
    <col min="22" max="22" width="28.77734375" bestFit="1" customWidth="1"/>
    <col min="23" max="23" width="34.5546875" bestFit="1" customWidth="1"/>
    <col min="24" max="24" width="17.88671875" bestFit="1" customWidth="1"/>
    <col min="25" max="25" width="11.109375" bestFit="1" customWidth="1"/>
    <col min="26" max="26" width="25" bestFit="1" customWidth="1"/>
    <col min="27" max="27" width="21.44140625" bestFit="1" customWidth="1"/>
    <col min="28" max="28" width="20.6640625" bestFit="1" customWidth="1"/>
    <col min="29" max="29" width="17.88671875" bestFit="1" customWidth="1"/>
    <col min="30" max="30" width="34.33203125" bestFit="1" customWidth="1"/>
    <col min="31" max="31" width="26.77734375" bestFit="1" customWidth="1"/>
    <col min="32" max="32" width="29.33203125" bestFit="1" customWidth="1"/>
    <col min="34" max="34" width="16.6640625" bestFit="1" customWidth="1"/>
    <col min="35" max="35" width="17.77734375" bestFit="1" customWidth="1"/>
    <col min="36" max="36" width="17.44140625" bestFit="1" customWidth="1"/>
    <col min="37" max="37" width="9.21875" bestFit="1" customWidth="1"/>
    <col min="38" max="38" width="23.77734375" bestFit="1" customWidth="1"/>
    <col min="39" max="39" width="28.77734375" bestFit="1" customWidth="1"/>
    <col min="40" max="40" width="25.109375" bestFit="1" customWidth="1"/>
    <col min="41" max="41" width="26.21875" bestFit="1" customWidth="1"/>
    <col min="42" max="42" width="17.88671875" bestFit="1" customWidth="1"/>
    <col min="43" max="43" width="27.33203125" bestFit="1" customWidth="1"/>
    <col min="44" max="44" width="48.77734375" bestFit="1" customWidth="1"/>
    <col min="45" max="45" width="49.21875" bestFit="1" customWidth="1"/>
    <col min="46" max="46" width="43" bestFit="1" customWidth="1"/>
    <col min="47" max="47" width="22.21875" bestFit="1" customWidth="1"/>
    <col min="48" max="48" width="50.44140625" bestFit="1" customWidth="1"/>
    <col min="49" max="49" width="37.21875" bestFit="1" customWidth="1"/>
    <col min="50" max="50" width="19.21875" bestFit="1" customWidth="1"/>
    <col min="51" max="51" width="39.44140625" bestFit="1" customWidth="1"/>
    <col min="52" max="52" width="35.88671875" bestFit="1" customWidth="1"/>
    <col min="53" max="53" width="26" bestFit="1" customWidth="1"/>
    <col min="54" max="54" width="28.33203125" bestFit="1" customWidth="1"/>
    <col min="55" max="55" width="49" bestFit="1" customWidth="1"/>
    <col min="56" max="56" width="20.6640625" bestFit="1" customWidth="1"/>
    <col min="57" max="57" width="39.77734375" bestFit="1" customWidth="1"/>
    <col min="58" max="58" width="11.21875" bestFit="1" customWidth="1"/>
    <col min="59" max="59" width="41.88671875" bestFit="1" customWidth="1"/>
    <col min="60" max="60" width="22.5546875" bestFit="1" customWidth="1"/>
    <col min="62" max="62" width="12.33203125" bestFit="1" customWidth="1"/>
    <col min="67" max="67" width="16.6640625" bestFit="1" customWidth="1"/>
    <col min="68" max="68" width="18.109375" bestFit="1" customWidth="1"/>
    <col min="75" max="75" width="20.21875" bestFit="1" customWidth="1"/>
    <col min="101" max="101" width="14.21875" bestFit="1" customWidth="1"/>
    <col min="102" max="102" width="36" bestFit="1" customWidth="1"/>
    <col min="103" max="103" width="19.77734375" bestFit="1" customWidth="1"/>
    <col min="104" max="104" width="17.44140625" bestFit="1" customWidth="1"/>
    <col min="105" max="105" width="25.21875" bestFit="1" customWidth="1"/>
    <col min="106" max="106" width="34.33203125" bestFit="1" customWidth="1"/>
    <col min="107" max="107" width="37.77734375" bestFit="1" customWidth="1"/>
    <col min="108" max="108" width="19.77734375" bestFit="1" customWidth="1"/>
    <col min="109" max="109" width="16.6640625" bestFit="1" customWidth="1"/>
    <col min="110" max="110" width="34.21875" bestFit="1" customWidth="1"/>
    <col min="111" max="111" width="21.6640625" bestFit="1" customWidth="1"/>
    <col min="112" max="112" width="17.21875" bestFit="1" customWidth="1"/>
    <col min="113" max="113" width="27.5546875" bestFit="1" customWidth="1"/>
    <col min="114" max="114" width="28.6640625" bestFit="1" customWidth="1"/>
    <col min="115" max="115" width="23.5546875" bestFit="1" customWidth="1"/>
    <col min="116" max="116" width="19.5546875" bestFit="1" customWidth="1"/>
    <col min="117" max="117" width="47.109375" bestFit="1" customWidth="1"/>
    <col min="120" max="120" width="17.88671875" bestFit="1" customWidth="1"/>
    <col min="121" max="121" width="19.88671875" bestFit="1" customWidth="1"/>
    <col min="122" max="122" width="12.6640625" bestFit="1" customWidth="1"/>
    <col min="125" max="125" width="10.77734375" bestFit="1" customWidth="1"/>
    <col min="127" max="127" width="17.44140625" bestFit="1" customWidth="1"/>
    <col min="130" max="130" width="46.5546875" bestFit="1" customWidth="1"/>
    <col min="131" max="131" width="9.5546875" bestFit="1" customWidth="1"/>
    <col min="132" max="132" width="16.6640625" bestFit="1" customWidth="1"/>
    <col min="135" max="135" width="34.88671875" bestFit="1" customWidth="1"/>
    <col min="136" max="136" width="15.109375" bestFit="1" customWidth="1"/>
    <col min="139" max="139" width="16.33203125" bestFit="1" customWidth="1"/>
    <col min="140" max="140" width="9.5546875" bestFit="1" customWidth="1"/>
  </cols>
  <sheetData>
    <row r="1" spans="1:140" x14ac:dyDescent="0.3">
      <c r="A1" s="1" t="s">
        <v>0</v>
      </c>
      <c r="B1" s="1" t="s">
        <v>1417</v>
      </c>
      <c r="C1" s="1" t="s">
        <v>1418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1573</v>
      </c>
      <c r="I1" s="1" t="s">
        <v>1574</v>
      </c>
      <c r="J1" s="1" t="s">
        <v>1575</v>
      </c>
      <c r="K1" s="1" t="s">
        <v>1708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1315</v>
      </c>
      <c r="V1" s="1" t="s">
        <v>1316</v>
      </c>
      <c r="W1" s="1" t="s">
        <v>1317</v>
      </c>
      <c r="X1" s="1" t="s">
        <v>1318</v>
      </c>
      <c r="Y1" s="1" t="s">
        <v>1319</v>
      </c>
      <c r="Z1" s="1" t="s">
        <v>1320</v>
      </c>
      <c r="AA1" s="1" t="s">
        <v>1321</v>
      </c>
      <c r="AB1" s="1" t="s">
        <v>1322</v>
      </c>
      <c r="AC1" s="1" t="s">
        <v>1323</v>
      </c>
      <c r="AD1" s="1" t="s">
        <v>1324</v>
      </c>
      <c r="AE1" s="1" t="s">
        <v>1325</v>
      </c>
      <c r="AF1" s="1" t="s">
        <v>1326</v>
      </c>
      <c r="AG1" s="1" t="s">
        <v>1327</v>
      </c>
      <c r="AH1" s="1" t="s">
        <v>1328</v>
      </c>
      <c r="AI1" s="1" t="s">
        <v>1329</v>
      </c>
      <c r="AJ1" s="1" t="s">
        <v>1330</v>
      </c>
      <c r="AK1" s="1" t="s">
        <v>1331</v>
      </c>
      <c r="AL1" s="1" t="s">
        <v>1332</v>
      </c>
      <c r="AM1" s="1" t="s">
        <v>1333</v>
      </c>
      <c r="AN1" s="1" t="s">
        <v>1334</v>
      </c>
      <c r="AO1" s="1" t="s">
        <v>1335</v>
      </c>
      <c r="AP1" s="1" t="s">
        <v>1336</v>
      </c>
      <c r="AQ1" s="1" t="s">
        <v>1337</v>
      </c>
      <c r="AR1" s="1" t="s">
        <v>1338</v>
      </c>
      <c r="AS1" s="1" t="s">
        <v>1339</v>
      </c>
      <c r="AT1" s="1" t="s">
        <v>1340</v>
      </c>
      <c r="AU1" s="1" t="s">
        <v>1341</v>
      </c>
      <c r="AV1" s="1" t="s">
        <v>1342</v>
      </c>
      <c r="AW1" s="1" t="s">
        <v>1343</v>
      </c>
      <c r="AX1" s="1" t="s">
        <v>1344</v>
      </c>
      <c r="AY1" s="1" t="s">
        <v>1345</v>
      </c>
      <c r="AZ1" s="1" t="s">
        <v>1346</v>
      </c>
      <c r="BA1" s="1" t="s">
        <v>1347</v>
      </c>
      <c r="BB1" s="1" t="s">
        <v>1348</v>
      </c>
      <c r="BC1" s="1" t="s">
        <v>1349</v>
      </c>
      <c r="BD1" s="1" t="s">
        <v>1350</v>
      </c>
      <c r="BE1" s="1" t="s">
        <v>1351</v>
      </c>
      <c r="BF1" s="1" t="s">
        <v>1352</v>
      </c>
      <c r="BG1" s="1" t="s">
        <v>1353</v>
      </c>
      <c r="BH1" s="1" t="s">
        <v>1354</v>
      </c>
      <c r="BI1" s="1" t="s">
        <v>1355</v>
      </c>
      <c r="BJ1" s="1" t="s">
        <v>1356</v>
      </c>
      <c r="BK1" s="1" t="s">
        <v>1357</v>
      </c>
      <c r="BL1" s="1" t="s">
        <v>1358</v>
      </c>
      <c r="BM1" s="1" t="s">
        <v>1359</v>
      </c>
      <c r="BN1" s="1" t="s">
        <v>1360</v>
      </c>
      <c r="BO1" s="1" t="s">
        <v>1361</v>
      </c>
      <c r="BP1" s="1" t="s">
        <v>1362</v>
      </c>
      <c r="BQ1" s="1" t="s">
        <v>1363</v>
      </c>
      <c r="BR1" s="1" t="s">
        <v>1364</v>
      </c>
      <c r="BS1" s="1" t="s">
        <v>1365</v>
      </c>
      <c r="BT1" s="1" t="s">
        <v>1366</v>
      </c>
      <c r="BU1" s="1" t="s">
        <v>1367</v>
      </c>
      <c r="BV1" s="1" t="s">
        <v>1368</v>
      </c>
      <c r="BW1" s="1" t="s">
        <v>1369</v>
      </c>
      <c r="BX1" s="1" t="s">
        <v>1370</v>
      </c>
      <c r="BY1" s="1" t="s">
        <v>1371</v>
      </c>
      <c r="BZ1" s="1" t="s">
        <v>1372</v>
      </c>
      <c r="CA1" s="1" t="s">
        <v>1373</v>
      </c>
      <c r="CB1" s="1" t="s">
        <v>1374</v>
      </c>
      <c r="CC1" s="1" t="s">
        <v>1375</v>
      </c>
      <c r="CD1" s="1" t="s">
        <v>1376</v>
      </c>
      <c r="CE1" s="1" t="s">
        <v>1377</v>
      </c>
      <c r="CF1" s="1" t="s">
        <v>1378</v>
      </c>
      <c r="CG1" s="1" t="s">
        <v>1379</v>
      </c>
      <c r="CH1" s="1" t="s">
        <v>1380</v>
      </c>
      <c r="CI1" s="1" t="s">
        <v>1381</v>
      </c>
      <c r="CJ1" s="1" t="s">
        <v>1382</v>
      </c>
      <c r="CK1" s="1" t="s">
        <v>1383</v>
      </c>
      <c r="CL1" s="1" t="s">
        <v>1384</v>
      </c>
      <c r="CM1" s="1" t="s">
        <v>1385</v>
      </c>
      <c r="CN1" s="1" t="s">
        <v>1386</v>
      </c>
      <c r="CO1" s="1" t="s">
        <v>1387</v>
      </c>
      <c r="CP1" s="1" t="s">
        <v>1388</v>
      </c>
      <c r="CQ1" s="1" t="s">
        <v>1389</v>
      </c>
      <c r="CR1" s="1" t="s">
        <v>1390</v>
      </c>
      <c r="CS1" s="1" t="s">
        <v>1391</v>
      </c>
      <c r="CT1" s="1" t="s">
        <v>1392</v>
      </c>
      <c r="CU1" s="1" t="s">
        <v>1393</v>
      </c>
      <c r="CV1" s="1" t="s">
        <v>1394</v>
      </c>
      <c r="CW1" s="1" t="s">
        <v>1395</v>
      </c>
      <c r="CX1" s="1" t="s">
        <v>1396</v>
      </c>
      <c r="CY1" s="1" t="s">
        <v>1397</v>
      </c>
      <c r="CZ1" s="1" t="s">
        <v>1398</v>
      </c>
      <c r="DA1" s="1" t="s">
        <v>1399</v>
      </c>
      <c r="DB1" s="1" t="s">
        <v>1400</v>
      </c>
      <c r="DC1" s="1" t="s">
        <v>1401</v>
      </c>
      <c r="DD1" s="1" t="s">
        <v>1402</v>
      </c>
      <c r="DE1" s="1" t="s">
        <v>1403</v>
      </c>
      <c r="DF1" s="1" t="s">
        <v>1404</v>
      </c>
      <c r="DG1" s="1" t="s">
        <v>1405</v>
      </c>
      <c r="DH1" s="1" t="s">
        <v>1406</v>
      </c>
      <c r="DI1" s="1" t="s">
        <v>1407</v>
      </c>
      <c r="DJ1" s="1" t="s">
        <v>1408</v>
      </c>
      <c r="DK1" s="1" t="s">
        <v>1409</v>
      </c>
      <c r="DL1" s="1" t="s">
        <v>1410</v>
      </c>
      <c r="DM1" s="1" t="s">
        <v>1411</v>
      </c>
      <c r="DN1" s="1" t="s">
        <v>1412</v>
      </c>
      <c r="DO1" s="1" t="s">
        <v>1413</v>
      </c>
      <c r="DP1" s="1" t="s">
        <v>1414</v>
      </c>
      <c r="DQ1" s="1" t="s">
        <v>1415</v>
      </c>
      <c r="DR1" s="1" t="s">
        <v>1416</v>
      </c>
      <c r="DS1" s="1" t="s">
        <v>1709</v>
      </c>
      <c r="DT1" s="1" t="s">
        <v>1710</v>
      </c>
      <c r="DU1" s="1" t="s">
        <v>1711</v>
      </c>
      <c r="DV1" s="1" t="s">
        <v>1712</v>
      </c>
      <c r="DW1" s="1" t="s">
        <v>1713</v>
      </c>
      <c r="DX1" s="1" t="s">
        <v>1714</v>
      </c>
      <c r="DY1" s="1" t="s">
        <v>1715</v>
      </c>
      <c r="DZ1" s="1" t="s">
        <v>1716</v>
      </c>
      <c r="EA1" s="1" t="s">
        <v>1717</v>
      </c>
      <c r="EB1" s="1" t="s">
        <v>1718</v>
      </c>
      <c r="EC1" s="1" t="s">
        <v>1719</v>
      </c>
      <c r="ED1" s="1" t="s">
        <v>1720</v>
      </c>
      <c r="EE1" s="1" t="s">
        <v>1721</v>
      </c>
      <c r="EF1" s="1" t="s">
        <v>1722</v>
      </c>
      <c r="EG1" s="1" t="s">
        <v>1723</v>
      </c>
      <c r="EH1" s="1" t="s">
        <v>1724</v>
      </c>
      <c r="EI1" s="1" t="s">
        <v>1725</v>
      </c>
      <c r="EJ1" s="1" t="s">
        <v>1726</v>
      </c>
    </row>
    <row r="2" spans="1:140" x14ac:dyDescent="0.3">
      <c r="A2" t="s">
        <v>14</v>
      </c>
      <c r="B2" t="s">
        <v>1419</v>
      </c>
      <c r="C2" t="s">
        <v>1420</v>
      </c>
      <c r="D2" t="s">
        <v>15</v>
      </c>
      <c r="E2" t="s">
        <v>16</v>
      </c>
      <c r="F2" t="s">
        <v>17</v>
      </c>
      <c r="G2" t="s">
        <v>18</v>
      </c>
      <c r="H2" t="s">
        <v>1576</v>
      </c>
      <c r="I2" t="s">
        <v>1577</v>
      </c>
      <c r="J2">
        <v>400001</v>
      </c>
      <c r="K2" t="str">
        <f>CONCATENATE(H2,",",I2,",",J2)</f>
        <v>Mumbai, Maharashtra,400001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tr">
        <f t="shared" ref="U2:U33" si="0">UPPER(D2)</f>
        <v xml:space="preserve">  RAJESH KUMAR  </v>
      </c>
      <c r="V2" t="str">
        <f t="shared" ref="V2:V33" si="1">LOWER(E2)</f>
        <v>rajesh.kumar@email.com</v>
      </c>
      <c r="W2" t="str">
        <f>PROPER(H2)</f>
        <v>Mumbai</v>
      </c>
      <c r="X2" t="str">
        <f t="shared" ref="X2:X33" si="2">TRIM(D2)</f>
        <v>rajesh KUMAR</v>
      </c>
      <c r="Y2" t="str">
        <f>UPPER(O2)</f>
        <v>RETAIL</v>
      </c>
      <c r="Z2" t="str">
        <f>LOWER(Q2)</f>
        <v xml:space="preserve">  tech solutions pvt ltd  </v>
      </c>
      <c r="AA2" t="str">
        <f>PROPER(R2)</f>
        <v>Sales Manager</v>
      </c>
      <c r="AB2" t="str">
        <f t="shared" ref="AB2:AB33" si="3">TRIM(G2)</f>
        <v>123 MG Road</v>
      </c>
      <c r="AC2" t="str">
        <f>UPPER(S2)</f>
        <v>DEPT-SALES-001</v>
      </c>
      <c r="AD2" t="str">
        <f>PROPER(M2)</f>
        <v>Laptop Dell Inspiron 15</v>
      </c>
      <c r="AE2" t="str">
        <f>LOWER(P2)</f>
        <v>www.techstore.com/products</v>
      </c>
      <c r="AF2" t="str">
        <f>TRIM(T2)</f>
        <v>Urgent delivery needed</v>
      </c>
      <c r="AG2" t="str">
        <f t="shared" ref="AG2:AG33" si="4">UPPER(A2)</f>
        <v>CUST001</v>
      </c>
      <c r="AH2" t="str">
        <f>UPPER(L2)</f>
        <v>PRD-ELC-001</v>
      </c>
      <c r="AI2" t="str">
        <f t="shared" ref="AI2:AI33" si="5">PROPER(D2)</f>
        <v xml:space="preserve">  Rajesh Kumar  </v>
      </c>
      <c r="AJ2" t="str">
        <f t="shared" ref="AJ2:AJ33" si="6">TRIM(F2)</f>
        <v>9876543210</v>
      </c>
      <c r="AK2" t="str">
        <f>LOWER(O2)</f>
        <v>retail</v>
      </c>
      <c r="AL2" t="str">
        <f>PROPER(TRIM(Q2))</f>
        <v>Tech Solutions Pvt Ltd</v>
      </c>
      <c r="AM2" t="str">
        <f t="shared" ref="AM2:AM33" si="7">LOWER(TRIM(E2))</f>
        <v>rajesh.kumar@email.com</v>
      </c>
      <c r="AN2" t="str">
        <f>UPPER(TRIM(R2))</f>
        <v>SALES MANAGER</v>
      </c>
      <c r="AO2" t="str">
        <f t="shared" ref="AO2:AO33" si="8">CONCATENATE(A2,"-",D2)</f>
        <v xml:space="preserve">CUST001-  rajesh KUMAR  </v>
      </c>
      <c r="AP2" t="str">
        <f>CONCATENATE(B2," ",C2)</f>
        <v>rajesh KUMAR</v>
      </c>
      <c r="AQ2" t="str">
        <f>CONCATENATE(H2,",",I2)</f>
        <v>Mumbai, Maharashtra</v>
      </c>
      <c r="AR2" t="str">
        <f>CONCATENATE(L2,":",M2)</f>
        <v>PRD-ELC-001:laptop DELL inspiron 15</v>
      </c>
      <c r="AS2" t="str">
        <f>CONCATENATE(E2,"|",F2)</f>
        <v>rajesh.kumar@email.com|9876543210</v>
      </c>
      <c r="AT2" t="str">
        <f>CONCATENATE(Q2,"-",R2)</f>
        <v xml:space="preserve">  Tech Solutions Pvt Ltd  -sales manager</v>
      </c>
      <c r="AU2" t="str">
        <f>CONCATENATE(O2," ",N2)</f>
        <v>RETAIL 15-Jan-2024</v>
      </c>
      <c r="AV2" t="str">
        <f>CONCATENATE(G2,",",H2,",",I2,",",J2)</f>
        <v xml:space="preserve">  123 MG Road  ,Mumbai, Maharashtra,400001</v>
      </c>
      <c r="AW2" t="str">
        <f>CONCATENATE(S2,"_",R2)</f>
        <v>DEPT-SALES-001_sales manager</v>
      </c>
      <c r="AX2" t="str">
        <f>CONCATENATE("Customer ID:",A2)</f>
        <v>Customer ID:CUST001</v>
      </c>
      <c r="AY2" t="str">
        <f>CONCATENATE("Email:",E2)</f>
        <v>Email:rajesh.kumar@email.com</v>
      </c>
      <c r="AZ2" t="str">
        <f>CONCATENATE(P2,"/contact")</f>
        <v>www.techstore.com/products/contact</v>
      </c>
      <c r="BA2" t="str">
        <f>CONCATENATE("Order Placed On ",N2)</f>
        <v>Order Placed On 15-Jan-2024</v>
      </c>
      <c r="BB2" t="str">
        <f>CONCATENATE(D2,"(",O2,")")</f>
        <v xml:space="preserve">  rajesh KUMAR  (RETAIL)</v>
      </c>
      <c r="BC2" t="str">
        <f>CONCATENATE(L2,"/",M2)</f>
        <v>PRD-ELC-001/laptop DELL inspiron 15</v>
      </c>
      <c r="BD2" t="str">
        <f>CONCATENATE("call ",F2)</f>
        <v>call 9876543210</v>
      </c>
      <c r="BE2" t="str">
        <f>CONCATENATE(Q2,"-",S2)</f>
        <v xml:space="preserve">  Tech Solutions Pvt Ltd  -DEPT-SALES-001</v>
      </c>
      <c r="BF2" t="str">
        <f>A2&amp;"-"&amp;ROW(A2)-1</f>
        <v>CUST001-1</v>
      </c>
      <c r="BG2" t="str">
        <f>CONCATENATE("Customer: ",D2,",","Type: ",O2)</f>
        <v>Customer:   rajesh KUMAR  ,Type: RETAIL</v>
      </c>
      <c r="BH2" t="str">
        <f>CONCATENATE(H2,",india")</f>
        <v>Mumbai,india</v>
      </c>
      <c r="BI2" t="str">
        <f>LEFT(A2,4)</f>
        <v>CUST</v>
      </c>
      <c r="BJ2" t="str">
        <f>LEFT(E2,10)</f>
        <v>rajesh.kum</v>
      </c>
      <c r="BK2" t="str">
        <f>LEFT(X2,SEARCH(" ",X2))</f>
        <v xml:space="preserve">rajesh </v>
      </c>
      <c r="BL2" t="str">
        <f>LEFT(L2,5)</f>
        <v>PRD-E</v>
      </c>
      <c r="BM2" t="str">
        <f>LEFT(O2,3)</f>
        <v>RET</v>
      </c>
      <c r="BN2" t="str">
        <f>LEFT(F2,8)</f>
        <v>98765432</v>
      </c>
      <c r="BO2" t="str">
        <f>MID(E2,SEARCH("@",E2)+1,20)</f>
        <v>email.com</v>
      </c>
      <c r="BP2" t="str">
        <f>LEFT(K2,SEARCH(",",K2)-1)</f>
        <v>Mumbai</v>
      </c>
      <c r="BQ2" t="str">
        <f>RIGHT(A2,4)</f>
        <v>T001</v>
      </c>
      <c r="BR2" t="str">
        <f>RIGHT(X2,SEARCH(" ",X2)-1)</f>
        <v xml:space="preserve"> KUMAR</v>
      </c>
      <c r="BS2" t="str">
        <f>RIGHT(L2,6)</f>
        <v>LC-001</v>
      </c>
      <c r="BU2" t="str">
        <f>RIGHT(F2,5)</f>
        <v>43210</v>
      </c>
      <c r="BV2" t="str">
        <f>RIGHT(K2,6)</f>
        <v>400001</v>
      </c>
      <c r="BW2" t="str">
        <f>MID(K2,FIND(",",K2)+1,FIND(",",K2,FIND(",",K2)+1)-FIND(",",K2)-1)</f>
        <v xml:space="preserve"> Maharashtra</v>
      </c>
      <c r="BX2" t="str">
        <f>MID(A2,5,3)</f>
        <v>001</v>
      </c>
      <c r="BY2" t="str">
        <f>MID(S2,FIND("-",S2)+1,FIND("-",S2,FIND("-",S2)+1)-FIND("-",S2)-1)</f>
        <v>SALES</v>
      </c>
      <c r="BZ2" t="str">
        <f>MID(L2,FIND("-",L2)+1,FIND("-",L2,FIND("-",L2)+1)-FIND("-",L2)-1)</f>
        <v>ELC</v>
      </c>
      <c r="CA2" t="str">
        <f>MID(N2,FIND("-",N2)+1,FIND("-",N2,FIND("-",N2)+1)-FIND("-",N2)-1)</f>
        <v>Jan</v>
      </c>
      <c r="CB2" t="str">
        <f>MID(Q2,3,5)</f>
        <v xml:space="preserve">Tech </v>
      </c>
      <c r="CC2">
        <f>SEARCH("@",E2)</f>
        <v>13</v>
      </c>
      <c r="CD2">
        <f>LEN(D2)</f>
        <v>16</v>
      </c>
      <c r="CE2">
        <f>LEN(E2)</f>
        <v>22</v>
      </c>
      <c r="CF2">
        <f>FIND(" ",D2)</f>
        <v>1</v>
      </c>
      <c r="CG2">
        <f>LEN(M2)</f>
        <v>23</v>
      </c>
      <c r="CH2">
        <f>FIND(",",K2)</f>
        <v>7</v>
      </c>
      <c r="CI2">
        <f>LEN(A2)</f>
        <v>7</v>
      </c>
      <c r="CJ2">
        <f>IFERROR(FIND("www",P2),"Not found")</f>
        <v>1</v>
      </c>
      <c r="CK2">
        <f>LEN(F2)</f>
        <v>10</v>
      </c>
      <c r="CL2">
        <f>FIND("-",L2)</f>
        <v>4</v>
      </c>
      <c r="CM2">
        <f>LEN(G2)</f>
        <v>15</v>
      </c>
      <c r="CN2">
        <f>FIND(".",E2)</f>
        <v>7</v>
      </c>
      <c r="CO2">
        <f>LEN(TRIM(Q2))</f>
        <v>22</v>
      </c>
      <c r="CP2">
        <f>FIND("-",L2,FIND("-",L2)+1)</f>
        <v>8</v>
      </c>
      <c r="CQ2">
        <f>LEN(S2)</f>
        <v>14</v>
      </c>
      <c r="CR2" t="str">
        <f>IFERROR(FIND("//",P2),"not found")</f>
        <v>not found</v>
      </c>
      <c r="CS2">
        <f>LEN(O2)</f>
        <v>6</v>
      </c>
      <c r="CT2">
        <f>FIND("-",L2,FIND("-",L2)+1)</f>
        <v>8</v>
      </c>
      <c r="CU2">
        <f>LEN(T2)</f>
        <v>22</v>
      </c>
      <c r="CV2">
        <f>FIND("-",N2)</f>
        <v>3</v>
      </c>
      <c r="CW2" t="str">
        <f>SUBSTITUTE(UPPER(A2),"CUST","Customer ID")</f>
        <v>Customer ID001</v>
      </c>
      <c r="CX2" t="str">
        <f>SUBSTITUTE(E2,"@","[AT]")</f>
        <v>rajesh.kumar[AT]email.com</v>
      </c>
      <c r="CY2" t="str">
        <f>SUBSTITUTE(UPPER(L2),"PRD","Product")</f>
        <v>Product-ELC-001</v>
      </c>
      <c r="CZ2" t="str">
        <f>SUBSTITUTE(L2,"-","_")</f>
        <v>PRD_ELC_001</v>
      </c>
      <c r="DA2" t="str">
        <f>SUBSTITUTE(UPPER(S2),"DEPT","DEPARTMENT")</f>
        <v>DEPARTMENT-SALES-001</v>
      </c>
      <c r="DB2" t="str">
        <f>SUBSTITUTE(UPPER(E2),".COM",".in")</f>
        <v>RAJESH.KUMAR@EMAIL.in</v>
      </c>
      <c r="DC2" t="str">
        <f>SUBSTITUTE(UPPER(P2),"WWW","https://www.")</f>
        <v>https://www..TECHSTORE.COM/PRODUCTS</v>
      </c>
      <c r="DD2" t="str">
        <f>SUBSTITUTE(D2," ","/")</f>
        <v>//rajesh/KUMAR//</v>
      </c>
      <c r="DE2" t="str">
        <f>IFERROR(SUBSTITUTE(O2,"retail","RETAIL CUSTOMER"),"Not Found")</f>
        <v>RETAIL</v>
      </c>
      <c r="DF2" t="str">
        <f>SUBSTITUTE(K2,",",";")</f>
        <v>Mumbai; Maharashtra;400001</v>
      </c>
      <c r="DG2" t="str">
        <f>IFERROR(SUBSTITUTE(R2,"manager","MANAGER"),"Not Found")</f>
        <v>sales MANAGER</v>
      </c>
      <c r="DH2" t="str">
        <f>SUBSTITUTE(SUBSTITUTE(F2,"("," "),")"," ")</f>
        <v>9876543210</v>
      </c>
      <c r="DI2" t="str">
        <f>SUBSTITUTE(Q2,"Pvt Ltd","Private Limited")</f>
        <v xml:space="preserve">  Tech Solutions Private Limited  </v>
      </c>
      <c r="DJ2" t="str">
        <f>SUBSTITUTE(P2,"//","://")</f>
        <v>www.techstore.com/products</v>
      </c>
      <c r="DK2" t="str">
        <f>SUBSTITUTE(G2," ","  ")</f>
        <v xml:space="preserve">    123  MG  Road    </v>
      </c>
      <c r="DL2" t="str">
        <f>LEFT(E2,SEARCH("@",E2)-1)</f>
        <v>rajesh.kumar</v>
      </c>
      <c r="DM2" t="str">
        <f>CONCATENATE(B2,".",C2,"@",Q2,".com")</f>
        <v>rajesh.KUMAR@  Tech Solutions Pvt Ltd  .com</v>
      </c>
      <c r="DN2" t="str">
        <f>LEFT(TRIM(D2),FIND(" ",TRIM(D2))-1)</f>
        <v>rajesh</v>
      </c>
      <c r="DO2" t="str">
        <f>MID(TRIM(D2),FIND(" ",TRIM(D2))+1,20)</f>
        <v>KUMAR</v>
      </c>
      <c r="DP2" t="str">
        <f>CONCATENATE(MID(TRIM(D2),FIND(" ",TRIM(D2))+1,20),",",LEFT(TRIM(D2),FIND(" ",TRIM(D2))-1))</f>
        <v>KUMAR,rajesh</v>
      </c>
      <c r="DQ2" t="str">
        <f>CONCATENATE("Name has",LEN(TRIM(D2)),"characters")</f>
        <v>Name has12characters</v>
      </c>
      <c r="DR2" t="str">
        <f>IF(ISNUMBER(SEARCH(".com",E2)),"Valid","Check Domain")</f>
        <v>Valid</v>
      </c>
      <c r="DS2" t="str">
        <f>LEFT(F2,4)</f>
        <v>9876</v>
      </c>
      <c r="DT2" t="str">
        <f>CONCATENATE(LEFT(A2,3),RIGHT(A2,3))</f>
        <v>CUS001</v>
      </c>
      <c r="DU2" t="str">
        <f>CONCATENATE(LEFT(B2,1),RIGHT(LOWER(C2),10))</f>
        <v>rkumar</v>
      </c>
      <c r="DV2" t="str">
        <f>CONCATENATE(LEFT(L2,3),RIGHT(A2,3))</f>
        <v>PRD001</v>
      </c>
      <c r="DW2" t="str">
        <f>TEXT(F2,"(000)  000-0000")</f>
        <v>(987)  654-3210</v>
      </c>
      <c r="DX2" t="str">
        <f>TEXT(N2,"yyyy")</f>
        <v>2024</v>
      </c>
      <c r="DY2" t="str">
        <f>LEFT(TRIM(D2),1)</f>
        <v>r</v>
      </c>
      <c r="DZ2" t="str">
        <f>CONCATENATE(B2,C2,"@",Q2,".com")</f>
        <v>rajeshKUMAR@  Tech Solutions Pvt Ltd  .com</v>
      </c>
      <c r="EA2" t="str">
        <f>IF(OR(O2="retail",O2="wholesale"),PROPER(O2),"")</f>
        <v>Retail</v>
      </c>
      <c r="EB2" t="str">
        <f>MID(E2,FIND("@",E2)+1,30)</f>
        <v>email.com</v>
      </c>
      <c r="EC2">
        <f>LEN(M2)</f>
        <v>23</v>
      </c>
      <c r="ED2" t="str">
        <f>CONCATENATE(LEFT(H2,2),RIGHT(UPPER(A2),2))</f>
        <v>Mu01</v>
      </c>
      <c r="EE2" t="str">
        <f>CONCATENATE(H2,"-",I2,"(",J2,")")</f>
        <v>Mumbai- Maharashtra(400001)</v>
      </c>
      <c r="EF2" t="str">
        <f>SUBSTITUTE(SUBSTITUTE(SUBSTITUTE(SUBSTITUTE(SUBSTITUTE(F2," ",""),"-",""),"+",""),"(",""),")","")</f>
        <v>9876543210</v>
      </c>
      <c r="EG2" t="str">
        <f>CONCATENATE("CUST","-",RIGHT(A2,3))</f>
        <v>CUST-001</v>
      </c>
      <c r="EH2" t="str">
        <f>IF(OR(ISNUMBER(SEARCH("Pvt",Q2)),ISNUMBER(SEARCH("Ltd",Q2))),"Private","public")</f>
        <v>Private</v>
      </c>
      <c r="EI2" t="str">
        <f>CONCATENATE(LEFT(UPPER(L2),3),"-",RIGHT(L2,3),"-",TEXT(N2,"ddmmmyy"))</f>
        <v>PRD-001-15Jan24</v>
      </c>
      <c r="EJ2" t="str">
        <f>PROPER(O2)</f>
        <v>Retail</v>
      </c>
    </row>
    <row r="3" spans="1:140" x14ac:dyDescent="0.3">
      <c r="A3" t="s">
        <v>28</v>
      </c>
      <c r="B3" t="s">
        <v>1421</v>
      </c>
      <c r="C3" t="s">
        <v>1422</v>
      </c>
      <c r="D3" t="s">
        <v>29</v>
      </c>
      <c r="E3" t="s">
        <v>30</v>
      </c>
      <c r="F3" t="s">
        <v>31</v>
      </c>
      <c r="G3" t="s">
        <v>32</v>
      </c>
      <c r="H3" t="s">
        <v>1578</v>
      </c>
      <c r="I3" t="s">
        <v>1579</v>
      </c>
      <c r="J3">
        <v>110001</v>
      </c>
      <c r="K3" t="str">
        <f t="shared" ref="K3:K66" si="9">CONCATENATE(H3,",",I3,",",J3)</f>
        <v>delhi, DELHI,110001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tr">
        <f t="shared" si="0"/>
        <v>PRIYA SHARMA</v>
      </c>
      <c r="V3" t="str">
        <f t="shared" si="1"/>
        <v>priya.sharma@email.com</v>
      </c>
      <c r="W3" t="str">
        <f t="shared" ref="W3:W66" si="10">PROPER(H3)</f>
        <v>Delhi</v>
      </c>
      <c r="X3" t="str">
        <f t="shared" si="2"/>
        <v>PRIYA sharma</v>
      </c>
      <c r="Y3" t="str">
        <f t="shared" ref="Y3:Y66" si="11">UPPER(O3)</f>
        <v>WHOLESALE</v>
      </c>
      <c r="Z3" t="str">
        <f t="shared" ref="Z3:Z66" si="12">LOWER(Q3)</f>
        <v>mobile hub india</v>
      </c>
      <c r="AA3" t="str">
        <f t="shared" ref="AA3:AA66" si="13">PROPER(R3)</f>
        <v>Purchase Head</v>
      </c>
      <c r="AB3" t="str">
        <f t="shared" si="3"/>
        <v>456 Park Street</v>
      </c>
      <c r="AC3" t="str">
        <f t="shared" ref="AC3:AC66" si="14">UPPER(S3)</f>
        <v>DEPT-PUR-002</v>
      </c>
      <c r="AD3" t="str">
        <f t="shared" ref="AD3:AD66" si="15">PROPER(M3)</f>
        <v>Samsung Galaxy S23</v>
      </c>
      <c r="AE3" t="str">
        <f t="shared" ref="AE3:AE66" si="16">LOWER(P3)</f>
        <v>www.mobilehub.com</v>
      </c>
      <c r="AF3" t="str">
        <f t="shared" ref="AF3:AF66" si="17">TRIM(T3)</f>
        <v>Request discount</v>
      </c>
      <c r="AG3" t="str">
        <f t="shared" si="4"/>
        <v>CUST002</v>
      </c>
      <c r="AH3" t="str">
        <f t="shared" ref="AH3:AH66" si="18">UPPER(L3)</f>
        <v>PRD-MOB-002</v>
      </c>
      <c r="AI3" t="str">
        <f t="shared" si="5"/>
        <v>Priya Sharma</v>
      </c>
      <c r="AJ3" t="str">
        <f t="shared" si="6"/>
        <v>(022) 2345-6789</v>
      </c>
      <c r="AK3" t="str">
        <f t="shared" ref="AK3:AK66" si="19">LOWER(O3)</f>
        <v>wholesale</v>
      </c>
      <c r="AL3" t="str">
        <f t="shared" ref="AL3:AL66" si="20">PROPER(TRIM(Q3))</f>
        <v>Mobile Hub India</v>
      </c>
      <c r="AM3" t="str">
        <f t="shared" si="7"/>
        <v>priya.sharma@email.com</v>
      </c>
      <c r="AN3" t="str">
        <f t="shared" ref="AN3:AN66" si="21">UPPER(TRIM(R3))</f>
        <v>PURCHASE HEAD</v>
      </c>
      <c r="AO3" t="str">
        <f t="shared" si="8"/>
        <v>cust002-PRIYA sharma</v>
      </c>
      <c r="AP3" t="str">
        <f t="shared" ref="AP3:AP66" si="22">CONCATENATE(B3," ",C3)</f>
        <v>PRIYA sharma</v>
      </c>
      <c r="AQ3" t="str">
        <f t="shared" ref="AQ3:AQ66" si="23">CONCATENATE(H3,",",I3)</f>
        <v>delhi, DELHI</v>
      </c>
      <c r="AR3" t="str">
        <f t="shared" ref="AR3:AR66" si="24">CONCATENATE(L3,":",M3)</f>
        <v>prd-mob-002:SAMSUNG Galaxy S23</v>
      </c>
      <c r="AS3" t="str">
        <f t="shared" ref="AS3:AS66" si="25">CONCATENATE(E3,"|",F3)</f>
        <v>PRIYA.SHARMA@EMAIL.COM|(022) 2345-6789</v>
      </c>
      <c r="AT3" t="str">
        <f t="shared" ref="AT3:AT66" si="26">CONCATENATE(Q3,"-",R3)</f>
        <v>mobile HUB india-PURCHASE HEAD</v>
      </c>
      <c r="AU3" t="str">
        <f t="shared" ref="AU3:AU66" si="27">CONCATENATE(O3," ",N3)</f>
        <v>wholesale 22-Jan-2024</v>
      </c>
      <c r="AV3" t="str">
        <f t="shared" ref="AV3:AV66" si="28">CONCATENATE(G3,",",H3,",",I3,",",J3)</f>
        <v>456 Park Street,delhi, DELHI,110001</v>
      </c>
      <c r="AW3" t="str">
        <f t="shared" ref="AW3:AW66" si="29">CONCATENATE(S3,"_",R3)</f>
        <v>dept-pur-002_PURCHASE HEAD</v>
      </c>
      <c r="AX3" t="str">
        <f t="shared" ref="AX3:AX66" si="30">CONCATENATE("Customer ID:",A3)</f>
        <v>Customer ID:cust002</v>
      </c>
      <c r="AY3" t="str">
        <f t="shared" ref="AY3:AY66" si="31">CONCATENATE("Email:",E3)</f>
        <v>Email:PRIYA.SHARMA@EMAIL.COM</v>
      </c>
      <c r="AZ3" t="str">
        <f t="shared" ref="AZ3:AZ66" si="32">CONCATENATE(P3,"/contact")</f>
        <v>WWW.MOBILEHUB.COM/contact</v>
      </c>
      <c r="BA3" t="str">
        <f t="shared" ref="BA3:BA66" si="33">CONCATENATE("Order Placed On ",N3)</f>
        <v>Order Placed On 22-Jan-2024</v>
      </c>
      <c r="BB3" t="str">
        <f t="shared" ref="BB3:BB66" si="34">CONCATENATE(D3,"(",O3,")")</f>
        <v>PRIYA sharma(wholesale)</v>
      </c>
      <c r="BC3" t="str">
        <f t="shared" ref="BC3:BC66" si="35">CONCATENATE(L3,"/",M3)</f>
        <v>prd-mob-002/SAMSUNG Galaxy S23</v>
      </c>
      <c r="BD3" t="str">
        <f t="shared" ref="BD3:BD66" si="36">CONCATENATE("call ",F3)</f>
        <v>call (022) 2345-6789</v>
      </c>
      <c r="BE3" t="str">
        <f t="shared" ref="BE3:BE66" si="37">CONCATENATE(Q3,"-",S3)</f>
        <v>mobile HUB india-dept-pur-002</v>
      </c>
      <c r="BF3" t="str">
        <f t="shared" ref="BF3:BF66" si="38">A3&amp;"-"&amp;ROW(A3)-1</f>
        <v>cust002-2</v>
      </c>
      <c r="BG3" t="str">
        <f t="shared" ref="BG3:BG66" si="39">CONCATENATE("Customer: ",D3,",","Type: ",O3)</f>
        <v>Customer: PRIYA sharma,Type: wholesale</v>
      </c>
      <c r="BH3" t="str">
        <f t="shared" ref="BH3:BH66" si="40">CONCATENATE(H3,",india")</f>
        <v>delhi,india</v>
      </c>
      <c r="BI3" t="str">
        <f t="shared" ref="BI3:BI66" si="41">LEFT(A3,4)</f>
        <v>cust</v>
      </c>
      <c r="BJ3" t="str">
        <f t="shared" ref="BJ3:BJ66" si="42">LEFT(E3,10)</f>
        <v>PRIYA.SHAR</v>
      </c>
      <c r="BK3" t="str">
        <f t="shared" ref="BK3:BK66" si="43">LEFT(X3,SEARCH(" ",X3))</f>
        <v xml:space="preserve">PRIYA </v>
      </c>
      <c r="BL3" t="str">
        <f t="shared" ref="BL3:BL66" si="44">LEFT(L3,5)</f>
        <v>prd-m</v>
      </c>
      <c r="BM3" t="str">
        <f t="shared" ref="BM3:BM66" si="45">LEFT(O3,3)</f>
        <v>who</v>
      </c>
      <c r="BN3" t="str">
        <f t="shared" ref="BN3:BN66" si="46">LEFT(F3,8)</f>
        <v>(022) 23</v>
      </c>
      <c r="BO3" t="str">
        <f t="shared" ref="BO3:BO66" si="47">MID(E3,SEARCH("@",E3)+1,20)</f>
        <v>EMAIL.COM</v>
      </c>
      <c r="BP3" t="str">
        <f t="shared" ref="BP3:BP66" si="48">LEFT(K3,SEARCH(",",K3)-1)</f>
        <v>delhi</v>
      </c>
      <c r="BQ3" t="str">
        <f t="shared" ref="BQ3:BQ66" si="49">RIGHT(A3,4)</f>
        <v>t002</v>
      </c>
      <c r="BR3" t="str">
        <f t="shared" ref="BR3:BR66" si="50">RIGHT(X3,SEARCH(" ",X3)-1)</f>
        <v>harma</v>
      </c>
      <c r="BS3" t="str">
        <f t="shared" ref="BS3:BS66" si="51">RIGHT(L3,6)</f>
        <v>ob-002</v>
      </c>
      <c r="BU3" t="str">
        <f t="shared" ref="BU3:BU66" si="52">RIGHT(F3,5)</f>
        <v>-6789</v>
      </c>
      <c r="BV3" t="str">
        <f t="shared" ref="BV3:BV66" si="53">RIGHT(K3,6)</f>
        <v>110001</v>
      </c>
      <c r="BW3" t="str">
        <f t="shared" ref="BW3:BW66" si="54">MID(K3,FIND(",",K3)+1,FIND(",",K3,FIND(",",K3)+1)-FIND(",",K3)-1)</f>
        <v xml:space="preserve"> DELHI</v>
      </c>
      <c r="BX3" t="str">
        <f t="shared" ref="BX3:BX66" si="55">MID(A3,5,3)</f>
        <v>002</v>
      </c>
      <c r="BY3" t="str">
        <f t="shared" ref="BY3:BY66" si="56">MID(S3,FIND("-",S3)+1,FIND("-",S3,FIND("-",S3)+1)-FIND("-",S3)-1)</f>
        <v>pur</v>
      </c>
      <c r="BZ3" t="str">
        <f t="shared" ref="BZ3:BZ66" si="57">MID(L3,FIND("-",L3)+1,FIND("-",L3,FIND("-",L3)+1)-FIND("-",L3)-1)</f>
        <v>mob</v>
      </c>
      <c r="CA3" t="str">
        <f t="shared" ref="CA3:CA66" si="58">MID(N3,FIND("-",N3)+1,FIND("-",N3,FIND("-",N3)+1)-FIND("-",N3)-1)</f>
        <v>Jan</v>
      </c>
      <c r="CB3" t="str">
        <f t="shared" ref="CB3:CB66" si="59">MID(Q3,3,5)</f>
        <v xml:space="preserve">bile </v>
      </c>
      <c r="CC3">
        <f t="shared" ref="CC3:CC66" si="60">SEARCH("@",E3)</f>
        <v>13</v>
      </c>
      <c r="CD3">
        <f t="shared" ref="CD3:CD66" si="61">LEN(D3)</f>
        <v>12</v>
      </c>
      <c r="CE3">
        <f t="shared" ref="CE3:CE66" si="62">LEN(E3)</f>
        <v>22</v>
      </c>
      <c r="CF3">
        <f t="shared" ref="CF3:CF66" si="63">FIND(" ",D3)</f>
        <v>6</v>
      </c>
      <c r="CG3">
        <f t="shared" ref="CG3:CG66" si="64">LEN(M3)</f>
        <v>18</v>
      </c>
      <c r="CH3">
        <f t="shared" ref="CH3:CH66" si="65">FIND(",",K3)</f>
        <v>6</v>
      </c>
      <c r="CI3">
        <f t="shared" ref="CI3:CI66" si="66">LEN(A3)</f>
        <v>7</v>
      </c>
      <c r="CJ3" t="str">
        <f t="shared" ref="CJ3:CJ66" si="67">IFERROR(FIND("www",P3),"Not found")</f>
        <v>Not found</v>
      </c>
      <c r="CK3">
        <f t="shared" ref="CK3:CK66" si="68">LEN(F3)</f>
        <v>15</v>
      </c>
      <c r="CL3">
        <f t="shared" ref="CL3:CL66" si="69">FIND("-",L3)</f>
        <v>4</v>
      </c>
      <c r="CM3">
        <f t="shared" ref="CM3:CM66" si="70">LEN(G3)</f>
        <v>15</v>
      </c>
      <c r="CN3">
        <f t="shared" ref="CN3:CN66" si="71">FIND(".",E3)</f>
        <v>6</v>
      </c>
      <c r="CO3">
        <f t="shared" ref="CO3:CO66" si="72">LEN(TRIM(Q3))</f>
        <v>16</v>
      </c>
      <c r="CP3">
        <f t="shared" ref="CP3:CP66" si="73">FIND("-",L3,FIND("-",L3)+1)</f>
        <v>8</v>
      </c>
      <c r="CQ3">
        <f t="shared" ref="CQ3:CQ66" si="74">LEN(S3)</f>
        <v>12</v>
      </c>
      <c r="CR3" t="str">
        <f t="shared" ref="CR3:CR66" si="75">IFERROR(FIND("//",P3),"not found")</f>
        <v>not found</v>
      </c>
      <c r="CS3">
        <f t="shared" ref="CS3:CS66" si="76">LEN(O3)</f>
        <v>9</v>
      </c>
      <c r="CT3">
        <f t="shared" ref="CT3:CT66" si="77">FIND("-",L3,FIND("-",L3)+1)</f>
        <v>8</v>
      </c>
      <c r="CU3">
        <f t="shared" ref="CU3:CU66" si="78">LEN(T3)</f>
        <v>20</v>
      </c>
      <c r="CV3">
        <f t="shared" ref="CV3:CV66" si="79">FIND("-",N3)</f>
        <v>3</v>
      </c>
      <c r="CW3" t="str">
        <f t="shared" ref="CW3:CW66" si="80">SUBSTITUTE(UPPER(A3),"CUST","Customer ID")</f>
        <v>Customer ID002</v>
      </c>
      <c r="CX3" t="str">
        <f t="shared" ref="CX3:CX66" si="81">SUBSTITUTE(E3,"@","[AT]")</f>
        <v>PRIYA.SHARMA[AT]EMAIL.COM</v>
      </c>
      <c r="CY3" t="str">
        <f t="shared" ref="CY3:CY66" si="82">SUBSTITUTE(UPPER(L3),"PRD","Product")</f>
        <v>Product-MOB-002</v>
      </c>
      <c r="CZ3" t="str">
        <f t="shared" ref="CZ3:CZ66" si="83">SUBSTITUTE(L3,"-","_")</f>
        <v>prd_mob_002</v>
      </c>
      <c r="DA3" t="str">
        <f t="shared" ref="DA3:DA66" si="84">SUBSTITUTE(UPPER(S3),"DEPT","DEPARTMENT")</f>
        <v>DEPARTMENT-PUR-002</v>
      </c>
      <c r="DB3" t="str">
        <f t="shared" ref="DB3:DB66" si="85">SUBSTITUTE(UPPER(E3),".COM",".in")</f>
        <v>PRIYA.SHARMA@EMAIL.in</v>
      </c>
      <c r="DC3" t="str">
        <f t="shared" ref="DC3:DC66" si="86">SUBSTITUTE(UPPER(P3),"WWW","https://www.")</f>
        <v>https://www..MOBILEHUB.COM</v>
      </c>
      <c r="DD3" t="str">
        <f t="shared" ref="DD3:DD66" si="87">SUBSTITUTE(D3," ","/")</f>
        <v>PRIYA/sharma</v>
      </c>
      <c r="DE3" t="str">
        <f t="shared" ref="DE3:DE66" si="88">IFERROR(SUBSTITUTE(O3,"retail","RETAIL CUSTOMER"),"Not Found")</f>
        <v>wholesale</v>
      </c>
      <c r="DF3" t="str">
        <f t="shared" ref="DF3:DF66" si="89">SUBSTITUTE(K3,",",";")</f>
        <v>delhi; DELHI;110001</v>
      </c>
      <c r="DG3" t="str">
        <f t="shared" ref="DG3:DG66" si="90">IFERROR(SUBSTITUTE(R3,"manager","MANAGER"),"Not Found")</f>
        <v>PURCHASE HEAD</v>
      </c>
      <c r="DH3" t="str">
        <f t="shared" ref="DH3:DH66" si="91">SUBSTITUTE(SUBSTITUTE(F3,"("," "),")"," ")</f>
        <v xml:space="preserve"> 022  2345-6789</v>
      </c>
      <c r="DI3" t="str">
        <f t="shared" ref="DI3:DI66" si="92">SUBSTITUTE(Q3,"Pvt Ltd","Private Limited")</f>
        <v>mobile HUB india</v>
      </c>
      <c r="DJ3" t="str">
        <f t="shared" ref="DJ3:DJ66" si="93">SUBSTITUTE(P3,"//","://")</f>
        <v>WWW.MOBILEHUB.COM</v>
      </c>
      <c r="DK3" t="str">
        <f t="shared" ref="DK3:DK66" si="94">SUBSTITUTE(G3," ","  ")</f>
        <v>456  Park  Street</v>
      </c>
      <c r="DL3" t="str">
        <f t="shared" ref="DL3:DL66" si="95">LEFT(E3,SEARCH("@",E3)-1)</f>
        <v>PRIYA.SHARMA</v>
      </c>
      <c r="DM3" t="str">
        <f t="shared" ref="DM3:DM66" si="96">CONCATENATE(B3,".",C3,"@",Q3,".com")</f>
        <v>PRIYA.sharma@mobile HUB india.com</v>
      </c>
      <c r="DN3" t="str">
        <f t="shared" ref="DN3:DN66" si="97">LEFT(TRIM(D3),FIND(" ",TRIM(D3))-1)</f>
        <v>PRIYA</v>
      </c>
      <c r="DO3" t="str">
        <f t="shared" ref="DO3:DO66" si="98">MID(TRIM(D3),FIND(" ",TRIM(D3))+1,20)</f>
        <v>sharma</v>
      </c>
      <c r="DP3" t="str">
        <f t="shared" ref="DP3:DP66" si="99">CONCATENATE(MID(TRIM(D3),FIND(" ",TRIM(D3))+1,20),",",LEFT(TRIM(D3),FIND(" ",TRIM(D3))-1))</f>
        <v>sharma,PRIYA</v>
      </c>
      <c r="DQ3" t="str">
        <f t="shared" ref="DQ3:DQ66" si="100">CONCATENATE("Name has",LEN(TRIM(D3)),"characters")</f>
        <v>Name has12characters</v>
      </c>
      <c r="DR3" t="str">
        <f t="shared" ref="DR3:DR66" si="101">IF(ISNUMBER(SEARCH(".com",E3)),"Valid","Check Domain")</f>
        <v>Valid</v>
      </c>
      <c r="DS3" t="str">
        <f t="shared" ref="DS3:DS66" si="102">LEFT(F3,4)</f>
        <v>(022</v>
      </c>
      <c r="DT3" t="str">
        <f t="shared" ref="DT3:DT66" si="103">CONCATENATE(LEFT(A3,3),RIGHT(A3,3))</f>
        <v>cus002</v>
      </c>
      <c r="DU3" t="str">
        <f t="shared" ref="DU3:DU66" si="104">CONCATENATE(LEFT(B3,1),RIGHT(LOWER(C3),10))</f>
        <v>Psharma</v>
      </c>
      <c r="DV3" t="str">
        <f t="shared" ref="DV3:DV66" si="105">CONCATENATE(LEFT(L3,3),RIGHT(A3,3))</f>
        <v>prd002</v>
      </c>
      <c r="DW3" t="str">
        <f t="shared" ref="DW3:DW66" si="106">TEXT(F3,"(000)  000-0000")</f>
        <v>(022) 2345-6789</v>
      </c>
      <c r="DX3" t="str">
        <f t="shared" ref="DX3:DX66" si="107">TEXT(N3,"yyyy")</f>
        <v>2024</v>
      </c>
      <c r="DY3" t="str">
        <f t="shared" ref="DY3:DY66" si="108">LEFT(TRIM(D3),1)</f>
        <v>P</v>
      </c>
      <c r="DZ3" t="str">
        <f t="shared" ref="DZ3:DZ66" si="109">CONCATENATE(B3,C3,"@",Q3,".com")</f>
        <v>PRIYAsharma@mobile HUB india.com</v>
      </c>
      <c r="EA3" t="str">
        <f t="shared" ref="EA3:EA66" si="110">IF(OR(O3="retail",O3="wholesale"),PROPER(O3),"")</f>
        <v>Wholesale</v>
      </c>
      <c r="EB3" t="str">
        <f t="shared" ref="EB3:EB66" si="111">MID(E3,FIND("@",E3)+1,30)</f>
        <v>EMAIL.COM</v>
      </c>
      <c r="EC3">
        <f t="shared" ref="EC3:EC66" si="112">LEN(M3)</f>
        <v>18</v>
      </c>
      <c r="ED3" t="str">
        <f t="shared" ref="ED3:ED66" si="113">CONCATENATE(LEFT(H3,2),RIGHT(UPPER(A3),2))</f>
        <v>de02</v>
      </c>
      <c r="EE3" t="str">
        <f t="shared" ref="EE3:EE66" si="114">CONCATENATE(H3,"-",I3,"(",J3,")")</f>
        <v>delhi- DELHI(110001)</v>
      </c>
      <c r="EF3" t="str">
        <f t="shared" ref="EF3:EF66" si="115">SUBSTITUTE(SUBSTITUTE(SUBSTITUTE(SUBSTITUTE(SUBSTITUTE(F3," ",""),"-",""),"+",""),"(",""),")","")</f>
        <v>02223456789</v>
      </c>
      <c r="EG3" t="str">
        <f t="shared" ref="EG3:EG66" si="116">CONCATENATE("CUST","-",RIGHT(A3,3))</f>
        <v>CUST-002</v>
      </c>
      <c r="EH3" t="str">
        <f t="shared" ref="EH3:EH66" si="117">IF(OR(ISNUMBER(SEARCH("Pvt",Q3)),ISNUMBER(SEARCH("Ltd",Q3))),"Private","public")</f>
        <v>public</v>
      </c>
      <c r="EI3" t="str">
        <f t="shared" ref="EI3:EI66" si="118">CONCATENATE(LEFT(UPPER(L3),3),"-",RIGHT(L3,3),"-",TEXT(N3,"ddmmmyy"))</f>
        <v>PRD-002-22Jan24</v>
      </c>
      <c r="EJ3" t="str">
        <f t="shared" ref="EJ3:EJ66" si="119">PROPER(O3)</f>
        <v>Wholesale</v>
      </c>
    </row>
    <row r="4" spans="1:140" x14ac:dyDescent="0.3">
      <c r="A4" t="s">
        <v>42</v>
      </c>
      <c r="B4" t="s">
        <v>1423</v>
      </c>
      <c r="C4" t="s">
        <v>1424</v>
      </c>
      <c r="D4" t="s">
        <v>43</v>
      </c>
      <c r="E4" t="s">
        <v>44</v>
      </c>
      <c r="F4" t="s">
        <v>45</v>
      </c>
      <c r="G4" t="s">
        <v>46</v>
      </c>
      <c r="H4" t="s">
        <v>1580</v>
      </c>
      <c r="I4" t="s">
        <v>1581</v>
      </c>
      <c r="J4">
        <v>560001</v>
      </c>
      <c r="K4" t="str">
        <f t="shared" si="9"/>
        <v>Bangalore, Karnataka,560001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tr">
        <f t="shared" si="0"/>
        <v>AMIT  PATEL</v>
      </c>
      <c r="V4" t="str">
        <f t="shared" si="1"/>
        <v>amit_patel@company.in</v>
      </c>
      <c r="W4" t="str">
        <f t="shared" si="10"/>
        <v>Bangalore</v>
      </c>
      <c r="X4" t="str">
        <f t="shared" si="2"/>
        <v>amit PATEL</v>
      </c>
      <c r="Y4" t="str">
        <f t="shared" si="11"/>
        <v>RETAIL</v>
      </c>
      <c r="Z4" t="str">
        <f t="shared" si="12"/>
        <v>apple zone</v>
      </c>
      <c r="AA4" t="str">
        <f t="shared" si="13"/>
        <v>It Manager</v>
      </c>
      <c r="AB4" t="str">
        <f t="shared" si="3"/>
        <v>789 Ring Road</v>
      </c>
      <c r="AC4" t="str">
        <f t="shared" si="14"/>
        <v>DEPT-IT-003</v>
      </c>
      <c r="AD4" t="str">
        <f t="shared" si="15"/>
        <v>Apple Ipad Pro 12.9</v>
      </c>
      <c r="AE4" t="str">
        <f t="shared" si="16"/>
        <v>https://www.applezone.in</v>
      </c>
      <c r="AF4" t="str">
        <f t="shared" si="17"/>
        <v>VIP customer</v>
      </c>
      <c r="AG4" t="str">
        <f t="shared" si="4"/>
        <v>CUST003</v>
      </c>
      <c r="AH4" t="str">
        <f t="shared" si="18"/>
        <v>PRD-TAB-003</v>
      </c>
      <c r="AI4" t="str">
        <f t="shared" si="5"/>
        <v>Amit  Patel</v>
      </c>
      <c r="AJ4" t="str">
        <f t="shared" si="6"/>
        <v>+91-9988776655</v>
      </c>
      <c r="AK4" t="str">
        <f t="shared" si="19"/>
        <v>retail</v>
      </c>
      <c r="AL4" t="str">
        <f t="shared" si="20"/>
        <v>Apple Zone</v>
      </c>
      <c r="AM4" t="str">
        <f t="shared" si="7"/>
        <v>amit_patel@company.in</v>
      </c>
      <c r="AN4" t="str">
        <f t="shared" si="21"/>
        <v>IT MANAGER</v>
      </c>
      <c r="AO4" t="str">
        <f t="shared" si="8"/>
        <v>Cust003-amit  PATEL</v>
      </c>
      <c r="AP4" t="str">
        <f t="shared" si="22"/>
        <v>amit PATEL</v>
      </c>
      <c r="AQ4" t="str">
        <f t="shared" si="23"/>
        <v>Bangalore, Karnataka</v>
      </c>
      <c r="AR4" t="str">
        <f t="shared" si="24"/>
        <v>PRD-TAB-003:apple iPad Pro 12.9</v>
      </c>
      <c r="AS4" t="str">
        <f t="shared" si="25"/>
        <v>amit_patel@company.in|+91-9988776655</v>
      </c>
      <c r="AT4" t="str">
        <f t="shared" si="26"/>
        <v>Apple ZONE-it manager</v>
      </c>
      <c r="AU4" t="str">
        <f t="shared" si="27"/>
        <v>Retail 05-Feb-2024</v>
      </c>
      <c r="AV4" t="str">
        <f t="shared" si="28"/>
        <v>789  Ring Road,Bangalore, Karnataka,560001</v>
      </c>
      <c r="AW4" t="str">
        <f t="shared" si="29"/>
        <v>DEPT-IT-003_it manager</v>
      </c>
      <c r="AX4" t="str">
        <f t="shared" si="30"/>
        <v>Customer ID:Cust003</v>
      </c>
      <c r="AY4" t="str">
        <f t="shared" si="31"/>
        <v>Email:amit_patel@company.in</v>
      </c>
      <c r="AZ4" t="str">
        <f t="shared" si="32"/>
        <v>https://www.applezone.in/contact</v>
      </c>
      <c r="BA4" t="str">
        <f t="shared" si="33"/>
        <v>Order Placed On 05-Feb-2024</v>
      </c>
      <c r="BB4" t="str">
        <f t="shared" si="34"/>
        <v>amit  PATEL(Retail)</v>
      </c>
      <c r="BC4" t="str">
        <f t="shared" si="35"/>
        <v>PRD-TAB-003/apple iPad Pro 12.9</v>
      </c>
      <c r="BD4" t="str">
        <f t="shared" si="36"/>
        <v>call +91-9988776655</v>
      </c>
      <c r="BE4" t="str">
        <f t="shared" si="37"/>
        <v>Apple ZONE-DEPT-IT-003</v>
      </c>
      <c r="BF4" t="str">
        <f t="shared" si="38"/>
        <v>Cust003-3</v>
      </c>
      <c r="BG4" t="str">
        <f t="shared" si="39"/>
        <v>Customer: amit  PATEL,Type: Retail</v>
      </c>
      <c r="BH4" t="str">
        <f t="shared" si="40"/>
        <v>Bangalore,india</v>
      </c>
      <c r="BI4" t="str">
        <f t="shared" si="41"/>
        <v>Cust</v>
      </c>
      <c r="BJ4" t="str">
        <f t="shared" si="42"/>
        <v>amit_patel</v>
      </c>
      <c r="BK4" t="str">
        <f t="shared" si="43"/>
        <v xml:space="preserve">amit </v>
      </c>
      <c r="BL4" t="str">
        <f t="shared" si="44"/>
        <v>PRD-T</v>
      </c>
      <c r="BM4" t="str">
        <f t="shared" si="45"/>
        <v>Ret</v>
      </c>
      <c r="BN4" t="str">
        <f t="shared" si="46"/>
        <v>+91-9988</v>
      </c>
      <c r="BO4" t="str">
        <f t="shared" si="47"/>
        <v>company.in</v>
      </c>
      <c r="BP4" t="str">
        <f t="shared" si="48"/>
        <v>Bangalore</v>
      </c>
      <c r="BQ4" t="str">
        <f t="shared" si="49"/>
        <v>t003</v>
      </c>
      <c r="BR4" t="str">
        <f t="shared" si="50"/>
        <v>ATEL</v>
      </c>
      <c r="BS4" t="str">
        <f t="shared" si="51"/>
        <v>AB-003</v>
      </c>
      <c r="BU4" t="str">
        <f t="shared" si="52"/>
        <v>76655</v>
      </c>
      <c r="BV4" t="str">
        <f t="shared" si="53"/>
        <v>560001</v>
      </c>
      <c r="BW4" t="str">
        <f t="shared" si="54"/>
        <v xml:space="preserve"> Karnataka</v>
      </c>
      <c r="BX4" t="str">
        <f t="shared" si="55"/>
        <v>003</v>
      </c>
      <c r="BY4" t="str">
        <f t="shared" si="56"/>
        <v>IT</v>
      </c>
      <c r="BZ4" t="str">
        <f t="shared" si="57"/>
        <v>TAB</v>
      </c>
      <c r="CA4" t="str">
        <f t="shared" si="58"/>
        <v>Feb</v>
      </c>
      <c r="CB4" t="str">
        <f t="shared" si="59"/>
        <v>ple Z</v>
      </c>
      <c r="CC4">
        <f t="shared" si="60"/>
        <v>11</v>
      </c>
      <c r="CD4">
        <f t="shared" si="61"/>
        <v>11</v>
      </c>
      <c r="CE4">
        <f t="shared" si="62"/>
        <v>21</v>
      </c>
      <c r="CF4">
        <f t="shared" si="63"/>
        <v>5</v>
      </c>
      <c r="CG4">
        <f t="shared" si="64"/>
        <v>19</v>
      </c>
      <c r="CH4">
        <f t="shared" si="65"/>
        <v>10</v>
      </c>
      <c r="CI4">
        <f t="shared" si="66"/>
        <v>7</v>
      </c>
      <c r="CJ4">
        <f t="shared" si="67"/>
        <v>9</v>
      </c>
      <c r="CK4">
        <f t="shared" si="68"/>
        <v>14</v>
      </c>
      <c r="CL4">
        <f t="shared" si="69"/>
        <v>4</v>
      </c>
      <c r="CM4">
        <f t="shared" si="70"/>
        <v>14</v>
      </c>
      <c r="CN4">
        <f t="shared" si="71"/>
        <v>19</v>
      </c>
      <c r="CO4">
        <f t="shared" si="72"/>
        <v>10</v>
      </c>
      <c r="CP4">
        <f t="shared" si="73"/>
        <v>8</v>
      </c>
      <c r="CQ4">
        <f t="shared" si="74"/>
        <v>11</v>
      </c>
      <c r="CR4">
        <f t="shared" si="75"/>
        <v>7</v>
      </c>
      <c r="CS4">
        <f t="shared" si="76"/>
        <v>6</v>
      </c>
      <c r="CT4">
        <f t="shared" si="77"/>
        <v>8</v>
      </c>
      <c r="CU4">
        <f t="shared" si="78"/>
        <v>12</v>
      </c>
      <c r="CV4">
        <f t="shared" si="79"/>
        <v>3</v>
      </c>
      <c r="CW4" t="str">
        <f t="shared" si="80"/>
        <v>Customer ID003</v>
      </c>
      <c r="CX4" t="str">
        <f t="shared" si="81"/>
        <v>amit_patel[AT]company.in</v>
      </c>
      <c r="CY4" t="str">
        <f t="shared" si="82"/>
        <v>Product-TAB-003</v>
      </c>
      <c r="CZ4" t="str">
        <f t="shared" si="83"/>
        <v>PRD_TAB_003</v>
      </c>
      <c r="DA4" t="str">
        <f t="shared" si="84"/>
        <v>DEPARTMENT-IT-003</v>
      </c>
      <c r="DB4" t="str">
        <f t="shared" si="85"/>
        <v>AMIT_PATEL@COMPANY.IN</v>
      </c>
      <c r="DC4" t="str">
        <f t="shared" si="86"/>
        <v>HTTPS://https://www..APPLEZONE.IN</v>
      </c>
      <c r="DD4" t="str">
        <f t="shared" si="87"/>
        <v>amit//PATEL</v>
      </c>
      <c r="DE4" t="str">
        <f t="shared" si="88"/>
        <v>Retail</v>
      </c>
      <c r="DF4" t="str">
        <f t="shared" si="89"/>
        <v>Bangalore; Karnataka;560001</v>
      </c>
      <c r="DG4" t="str">
        <f t="shared" si="90"/>
        <v>it MANAGER</v>
      </c>
      <c r="DH4" t="str">
        <f t="shared" si="91"/>
        <v>+91-9988776655</v>
      </c>
      <c r="DI4" t="str">
        <f t="shared" si="92"/>
        <v>Apple ZONE</v>
      </c>
      <c r="DJ4" t="str">
        <f t="shared" si="93"/>
        <v>https:://www.applezone.in</v>
      </c>
      <c r="DK4" t="str">
        <f t="shared" si="94"/>
        <v>789    Ring  Road</v>
      </c>
      <c r="DL4" t="str">
        <f t="shared" si="95"/>
        <v>amit_patel</v>
      </c>
      <c r="DM4" t="str">
        <f t="shared" si="96"/>
        <v>amit.PATEL@Apple ZONE.com</v>
      </c>
      <c r="DN4" t="str">
        <f t="shared" si="97"/>
        <v>amit</v>
      </c>
      <c r="DO4" t="str">
        <f t="shared" si="98"/>
        <v>PATEL</v>
      </c>
      <c r="DP4" t="str">
        <f t="shared" si="99"/>
        <v>PATEL,amit</v>
      </c>
      <c r="DQ4" t="str">
        <f t="shared" si="100"/>
        <v>Name has10characters</v>
      </c>
      <c r="DR4" t="str">
        <f t="shared" si="101"/>
        <v>Check Domain</v>
      </c>
      <c r="DS4" t="str">
        <f t="shared" si="102"/>
        <v>+91-</v>
      </c>
      <c r="DT4" t="str">
        <f t="shared" si="103"/>
        <v>Cus003</v>
      </c>
      <c r="DU4" t="str">
        <f t="shared" si="104"/>
        <v>apatel</v>
      </c>
      <c r="DV4" t="str">
        <f t="shared" si="105"/>
        <v>PRD003</v>
      </c>
      <c r="DW4" t="str">
        <f t="shared" si="106"/>
        <v>+91-9988776655</v>
      </c>
      <c r="DX4" t="str">
        <f t="shared" si="107"/>
        <v>2024</v>
      </c>
      <c r="DY4" t="str">
        <f t="shared" si="108"/>
        <v>a</v>
      </c>
      <c r="DZ4" t="str">
        <f t="shared" si="109"/>
        <v>amitPATEL@Apple ZONE.com</v>
      </c>
      <c r="EA4" t="str">
        <f t="shared" si="110"/>
        <v>Retail</v>
      </c>
      <c r="EB4" t="str">
        <f t="shared" si="111"/>
        <v>company.in</v>
      </c>
      <c r="EC4">
        <f t="shared" si="112"/>
        <v>19</v>
      </c>
      <c r="ED4" t="str">
        <f t="shared" si="113"/>
        <v>Ba03</v>
      </c>
      <c r="EE4" t="str">
        <f t="shared" si="114"/>
        <v>Bangalore- Karnataka(560001)</v>
      </c>
      <c r="EF4" t="str">
        <f t="shared" si="115"/>
        <v>919988776655</v>
      </c>
      <c r="EG4" t="str">
        <f t="shared" si="116"/>
        <v>CUST-003</v>
      </c>
      <c r="EH4" t="str">
        <f t="shared" si="117"/>
        <v>public</v>
      </c>
      <c r="EI4" t="str">
        <f t="shared" si="118"/>
        <v>PRD-003-05Feb24</v>
      </c>
      <c r="EJ4" t="str">
        <f t="shared" si="119"/>
        <v>Retail</v>
      </c>
    </row>
    <row r="5" spans="1:140" x14ac:dyDescent="0.3">
      <c r="A5" t="s">
        <v>56</v>
      </c>
      <c r="B5" t="s">
        <v>1425</v>
      </c>
      <c r="C5" t="s">
        <v>1426</v>
      </c>
      <c r="D5" t="s">
        <v>57</v>
      </c>
      <c r="E5" t="s">
        <v>58</v>
      </c>
      <c r="F5" t="s">
        <v>59</v>
      </c>
      <c r="G5" t="s">
        <v>60</v>
      </c>
      <c r="H5" t="s">
        <v>1582</v>
      </c>
      <c r="I5" t="s">
        <v>1583</v>
      </c>
      <c r="J5">
        <v>500001</v>
      </c>
      <c r="K5" t="str">
        <f t="shared" si="9"/>
        <v>hyderabad, Telangana,500001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tr">
        <f t="shared" si="0"/>
        <v xml:space="preserve">SNEHA REDDY  </v>
      </c>
      <c r="V5" t="str">
        <f t="shared" si="1"/>
        <v>sneha.reddy123@mail.com</v>
      </c>
      <c r="W5" t="str">
        <f t="shared" si="10"/>
        <v>Hyderabad</v>
      </c>
      <c r="X5" t="str">
        <f t="shared" si="2"/>
        <v>sneha REDDY</v>
      </c>
      <c r="Y5" t="str">
        <f t="shared" si="11"/>
        <v>CORPORATE</v>
      </c>
      <c r="Z5" t="str">
        <f t="shared" si="12"/>
        <v>corporate tech solutions</v>
      </c>
      <c r="AA5" t="str">
        <f t="shared" si="13"/>
        <v>Finance Director</v>
      </c>
      <c r="AB5" t="str">
        <f t="shared" si="3"/>
        <v>321 Jubilee Hills</v>
      </c>
      <c r="AC5" t="str">
        <f t="shared" si="14"/>
        <v>DEPT-FIN-004</v>
      </c>
      <c r="AD5" t="str">
        <f t="shared" si="15"/>
        <v>Hp Pavilion Gaming</v>
      </c>
      <c r="AE5" t="str">
        <f t="shared" si="16"/>
        <v>www.corporatetech.com/shop</v>
      </c>
      <c r="AF5" t="str">
        <f t="shared" si="17"/>
        <v>Bulk order</v>
      </c>
      <c r="AG5" t="str">
        <f t="shared" si="4"/>
        <v>CUST004</v>
      </c>
      <c r="AH5" t="str">
        <f t="shared" si="18"/>
        <v>PRD-LAP-004</v>
      </c>
      <c r="AI5" t="str">
        <f t="shared" si="5"/>
        <v xml:space="preserve">Sneha Reddy  </v>
      </c>
      <c r="AJ5" t="str">
        <f t="shared" si="6"/>
        <v>040-12345678</v>
      </c>
      <c r="AK5" t="str">
        <f t="shared" si="19"/>
        <v>corporate</v>
      </c>
      <c r="AL5" t="str">
        <f t="shared" si="20"/>
        <v>Corporate Tech Solutions</v>
      </c>
      <c r="AM5" t="str">
        <f t="shared" si="7"/>
        <v>sneha.reddy123@mail.com</v>
      </c>
      <c r="AN5" t="str">
        <f t="shared" si="21"/>
        <v>FINANCE DIRECTOR</v>
      </c>
      <c r="AO5" t="str">
        <f t="shared" si="8"/>
        <v xml:space="preserve">CUST004-sneha REDDY  </v>
      </c>
      <c r="AP5" t="str">
        <f t="shared" si="22"/>
        <v>sneha REDDY</v>
      </c>
      <c r="AQ5" t="str">
        <f t="shared" si="23"/>
        <v>hyderabad, Telangana</v>
      </c>
      <c r="AR5" t="str">
        <f t="shared" si="24"/>
        <v>prd-lap-004:HP pavilion Gaming</v>
      </c>
      <c r="AS5" t="str">
        <f t="shared" si="25"/>
        <v>sneha.reddy123@mail.com|040-12345678</v>
      </c>
      <c r="AT5" t="str">
        <f t="shared" si="26"/>
        <v>CORPORATE Tech Solutions-Finance Director</v>
      </c>
      <c r="AU5" t="str">
        <f t="shared" si="27"/>
        <v>CORPORATE 12-Feb-2024</v>
      </c>
      <c r="AV5" t="str">
        <f t="shared" si="28"/>
        <v xml:space="preserve">  321 Jubilee Hills  ,hyderabad, Telangana,500001</v>
      </c>
      <c r="AW5" t="str">
        <f t="shared" si="29"/>
        <v>dept-fin-004_Finance Director</v>
      </c>
      <c r="AX5" t="str">
        <f t="shared" si="30"/>
        <v>Customer ID:CUST004</v>
      </c>
      <c r="AY5" t="str">
        <f t="shared" si="31"/>
        <v>Email:sneha.reddy123@mail.com</v>
      </c>
      <c r="AZ5" t="str">
        <f t="shared" si="32"/>
        <v>www.corporatetech.com/shop/contact</v>
      </c>
      <c r="BA5" t="str">
        <f t="shared" si="33"/>
        <v>Order Placed On 12-Feb-2024</v>
      </c>
      <c r="BB5" t="str">
        <f t="shared" si="34"/>
        <v>sneha REDDY  (CORPORATE)</v>
      </c>
      <c r="BC5" t="str">
        <f t="shared" si="35"/>
        <v>prd-lap-004/HP pavilion Gaming</v>
      </c>
      <c r="BD5" t="str">
        <f t="shared" si="36"/>
        <v>call 040-12345678</v>
      </c>
      <c r="BE5" t="str">
        <f t="shared" si="37"/>
        <v>CORPORATE Tech Solutions-dept-fin-004</v>
      </c>
      <c r="BF5" t="str">
        <f t="shared" si="38"/>
        <v>CUST004-4</v>
      </c>
      <c r="BG5" t="str">
        <f t="shared" si="39"/>
        <v>Customer: sneha REDDY  ,Type: CORPORATE</v>
      </c>
      <c r="BH5" t="str">
        <f t="shared" si="40"/>
        <v>hyderabad,india</v>
      </c>
      <c r="BI5" t="str">
        <f t="shared" si="41"/>
        <v>CUST</v>
      </c>
      <c r="BJ5" t="str">
        <f t="shared" si="42"/>
        <v>sneha.redd</v>
      </c>
      <c r="BK5" t="str">
        <f t="shared" si="43"/>
        <v xml:space="preserve">sneha </v>
      </c>
      <c r="BL5" t="str">
        <f t="shared" si="44"/>
        <v>prd-l</v>
      </c>
      <c r="BM5" t="str">
        <f t="shared" si="45"/>
        <v>COR</v>
      </c>
      <c r="BN5" t="str">
        <f t="shared" si="46"/>
        <v>040-1234</v>
      </c>
      <c r="BO5" t="str">
        <f t="shared" si="47"/>
        <v>mail.com</v>
      </c>
      <c r="BP5" t="str">
        <f t="shared" si="48"/>
        <v>hyderabad</v>
      </c>
      <c r="BQ5" t="str">
        <f t="shared" si="49"/>
        <v>T004</v>
      </c>
      <c r="BR5" t="str">
        <f t="shared" si="50"/>
        <v>REDDY</v>
      </c>
      <c r="BS5" t="str">
        <f t="shared" si="51"/>
        <v>ap-004</v>
      </c>
      <c r="BU5" t="str">
        <f t="shared" si="52"/>
        <v>45678</v>
      </c>
      <c r="BV5" t="str">
        <f t="shared" si="53"/>
        <v>500001</v>
      </c>
      <c r="BW5" t="str">
        <f t="shared" si="54"/>
        <v xml:space="preserve"> Telangana</v>
      </c>
      <c r="BX5" t="str">
        <f t="shared" si="55"/>
        <v>004</v>
      </c>
      <c r="BY5" t="str">
        <f t="shared" si="56"/>
        <v>fin</v>
      </c>
      <c r="BZ5" t="str">
        <f t="shared" si="57"/>
        <v>lap</v>
      </c>
      <c r="CA5" t="str">
        <f t="shared" si="58"/>
        <v>Feb</v>
      </c>
      <c r="CB5" t="str">
        <f t="shared" si="59"/>
        <v>RPORA</v>
      </c>
      <c r="CC5">
        <f t="shared" si="60"/>
        <v>15</v>
      </c>
      <c r="CD5">
        <f t="shared" si="61"/>
        <v>13</v>
      </c>
      <c r="CE5">
        <f t="shared" si="62"/>
        <v>23</v>
      </c>
      <c r="CF5">
        <f t="shared" si="63"/>
        <v>6</v>
      </c>
      <c r="CG5">
        <f t="shared" si="64"/>
        <v>18</v>
      </c>
      <c r="CH5">
        <f t="shared" si="65"/>
        <v>10</v>
      </c>
      <c r="CI5">
        <f t="shared" si="66"/>
        <v>7</v>
      </c>
      <c r="CJ5">
        <f t="shared" si="67"/>
        <v>1</v>
      </c>
      <c r="CK5">
        <f t="shared" si="68"/>
        <v>12</v>
      </c>
      <c r="CL5">
        <f t="shared" si="69"/>
        <v>4</v>
      </c>
      <c r="CM5">
        <f t="shared" si="70"/>
        <v>21</v>
      </c>
      <c r="CN5">
        <f t="shared" si="71"/>
        <v>6</v>
      </c>
      <c r="CO5">
        <f t="shared" si="72"/>
        <v>24</v>
      </c>
      <c r="CP5">
        <f t="shared" si="73"/>
        <v>8</v>
      </c>
      <c r="CQ5">
        <f t="shared" si="74"/>
        <v>12</v>
      </c>
      <c r="CR5" t="str">
        <f t="shared" si="75"/>
        <v>not found</v>
      </c>
      <c r="CS5">
        <f t="shared" si="76"/>
        <v>9</v>
      </c>
      <c r="CT5">
        <f t="shared" si="77"/>
        <v>8</v>
      </c>
      <c r="CU5">
        <f t="shared" si="78"/>
        <v>11</v>
      </c>
      <c r="CV5">
        <f t="shared" si="79"/>
        <v>3</v>
      </c>
      <c r="CW5" t="str">
        <f t="shared" si="80"/>
        <v>Customer ID004</v>
      </c>
      <c r="CX5" t="str">
        <f t="shared" si="81"/>
        <v>sneha.reddy123[AT]mail.com</v>
      </c>
      <c r="CY5" t="str">
        <f t="shared" si="82"/>
        <v>Product-LAP-004</v>
      </c>
      <c r="CZ5" t="str">
        <f t="shared" si="83"/>
        <v>prd_lap_004</v>
      </c>
      <c r="DA5" t="str">
        <f t="shared" si="84"/>
        <v>DEPARTMENT-FIN-004</v>
      </c>
      <c r="DB5" t="str">
        <f t="shared" si="85"/>
        <v>SNEHA.REDDY123@MAIL.in</v>
      </c>
      <c r="DC5" t="str">
        <f t="shared" si="86"/>
        <v>https://www..CORPORATETECH.COM/SHOP</v>
      </c>
      <c r="DD5" t="str">
        <f t="shared" si="87"/>
        <v>sneha/REDDY//</v>
      </c>
      <c r="DE5" t="str">
        <f t="shared" si="88"/>
        <v>CORPORATE</v>
      </c>
      <c r="DF5" t="str">
        <f t="shared" si="89"/>
        <v>hyderabad; Telangana;500001</v>
      </c>
      <c r="DG5" t="str">
        <f t="shared" si="90"/>
        <v>Finance Director</v>
      </c>
      <c r="DH5" t="str">
        <f t="shared" si="91"/>
        <v>040-12345678</v>
      </c>
      <c r="DI5" t="str">
        <f t="shared" si="92"/>
        <v>CORPORATE Tech Solutions</v>
      </c>
      <c r="DJ5" t="str">
        <f t="shared" si="93"/>
        <v>www.corporatetech.com/shop</v>
      </c>
      <c r="DK5" t="str">
        <f t="shared" si="94"/>
        <v xml:space="preserve">    321  Jubilee  Hills    </v>
      </c>
      <c r="DL5" t="str">
        <f t="shared" si="95"/>
        <v>sneha.reddy123</v>
      </c>
      <c r="DM5" t="str">
        <f t="shared" si="96"/>
        <v>sneha.REDDY@CORPORATE Tech Solutions.com</v>
      </c>
      <c r="DN5" t="str">
        <f t="shared" si="97"/>
        <v>sneha</v>
      </c>
      <c r="DO5" t="str">
        <f t="shared" si="98"/>
        <v>REDDY</v>
      </c>
      <c r="DP5" t="str">
        <f t="shared" si="99"/>
        <v>REDDY,sneha</v>
      </c>
      <c r="DQ5" t="str">
        <f t="shared" si="100"/>
        <v>Name has11characters</v>
      </c>
      <c r="DR5" t="str">
        <f t="shared" si="101"/>
        <v>Valid</v>
      </c>
      <c r="DS5" t="str">
        <f t="shared" si="102"/>
        <v>040-</v>
      </c>
      <c r="DT5" t="str">
        <f t="shared" si="103"/>
        <v>CUS004</v>
      </c>
      <c r="DU5" t="str">
        <f t="shared" si="104"/>
        <v>sreddy</v>
      </c>
      <c r="DV5" t="str">
        <f t="shared" si="105"/>
        <v>prd004</v>
      </c>
      <c r="DW5" t="str">
        <f t="shared" si="106"/>
        <v>040-12345678</v>
      </c>
      <c r="DX5" t="str">
        <f t="shared" si="107"/>
        <v>2024</v>
      </c>
      <c r="DY5" t="str">
        <f t="shared" si="108"/>
        <v>s</v>
      </c>
      <c r="DZ5" t="str">
        <f t="shared" si="109"/>
        <v>snehaREDDY@CORPORATE Tech Solutions.com</v>
      </c>
      <c r="EA5" t="str">
        <f t="shared" si="110"/>
        <v/>
      </c>
      <c r="EB5" t="str">
        <f t="shared" si="111"/>
        <v>mail.com</v>
      </c>
      <c r="EC5">
        <f t="shared" si="112"/>
        <v>18</v>
      </c>
      <c r="ED5" t="str">
        <f t="shared" si="113"/>
        <v>hy04</v>
      </c>
      <c r="EE5" t="str">
        <f t="shared" si="114"/>
        <v>hyderabad- Telangana(500001)</v>
      </c>
      <c r="EF5" t="str">
        <f t="shared" si="115"/>
        <v>04012345678</v>
      </c>
      <c r="EG5" t="str">
        <f t="shared" si="116"/>
        <v>CUST-004</v>
      </c>
      <c r="EH5" t="str">
        <f t="shared" si="117"/>
        <v>public</v>
      </c>
      <c r="EI5" t="str">
        <f t="shared" si="118"/>
        <v>PRD-004-12Feb24</v>
      </c>
      <c r="EJ5" t="str">
        <f t="shared" si="119"/>
        <v>Corporate</v>
      </c>
    </row>
    <row r="6" spans="1:140" x14ac:dyDescent="0.3">
      <c r="A6" t="s">
        <v>70</v>
      </c>
      <c r="B6" t="s">
        <v>1427</v>
      </c>
      <c r="C6" t="s">
        <v>1428</v>
      </c>
      <c r="D6" t="s">
        <v>71</v>
      </c>
      <c r="E6" t="s">
        <v>72</v>
      </c>
      <c r="F6" t="s">
        <v>73</v>
      </c>
      <c r="G6" t="s">
        <v>74</v>
      </c>
      <c r="H6" t="s">
        <v>1584</v>
      </c>
      <c r="I6" t="s">
        <v>1585</v>
      </c>
      <c r="J6">
        <v>400002</v>
      </c>
      <c r="K6" t="str">
        <f t="shared" si="9"/>
        <v>MUMBAI, maharashtra,400002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tr">
        <f t="shared" si="0"/>
        <v xml:space="preserve">  RAHUL VERMA</v>
      </c>
      <c r="V6" t="str">
        <f t="shared" si="1"/>
        <v>rahulverma@inbox.com</v>
      </c>
      <c r="W6" t="str">
        <f t="shared" si="10"/>
        <v>Mumbai</v>
      </c>
      <c r="X6" t="str">
        <f t="shared" si="2"/>
        <v>RAHUL verma</v>
      </c>
      <c r="Y6" t="str">
        <f t="shared" si="11"/>
        <v>RETAIL</v>
      </c>
      <c r="Z6" t="str">
        <f t="shared" si="12"/>
        <v>gadget world</v>
      </c>
      <c r="AA6" t="str">
        <f t="shared" si="13"/>
        <v>Store Manager</v>
      </c>
      <c r="AB6" t="str">
        <f t="shared" si="3"/>
        <v>654 Marine Drive</v>
      </c>
      <c r="AC6" t="str">
        <f t="shared" si="14"/>
        <v>DEPT-OPS-005</v>
      </c>
      <c r="AD6" t="str">
        <f t="shared" si="15"/>
        <v>Wireless Mouse Logitech</v>
      </c>
      <c r="AE6" t="str">
        <f t="shared" si="16"/>
        <v>www.accessories.in</v>
      </c>
      <c r="AF6" t="str">
        <f t="shared" si="17"/>
        <v>Check stock availability</v>
      </c>
      <c r="AG6" t="str">
        <f t="shared" si="4"/>
        <v>CUST005</v>
      </c>
      <c r="AH6" t="str">
        <f t="shared" si="18"/>
        <v>PRD-ACC-005</v>
      </c>
      <c r="AI6" t="str">
        <f t="shared" si="5"/>
        <v xml:space="preserve">  Rahul Verma</v>
      </c>
      <c r="AJ6" t="str">
        <f t="shared" si="6"/>
        <v>9123456789</v>
      </c>
      <c r="AK6" t="str">
        <f t="shared" si="19"/>
        <v>retail</v>
      </c>
      <c r="AL6" t="str">
        <f t="shared" si="20"/>
        <v>Gadget World</v>
      </c>
      <c r="AM6" t="str">
        <f t="shared" si="7"/>
        <v>rahulverma@inbox.com</v>
      </c>
      <c r="AN6" t="str">
        <f t="shared" si="21"/>
        <v>STORE MANAGER</v>
      </c>
      <c r="AO6" t="str">
        <f t="shared" si="8"/>
        <v>cust005-  RAHUL verma</v>
      </c>
      <c r="AP6" t="str">
        <f t="shared" si="22"/>
        <v>RAHUL verma</v>
      </c>
      <c r="AQ6" t="str">
        <f t="shared" si="23"/>
        <v>MUMBAI, maharashtra</v>
      </c>
      <c r="AR6" t="str">
        <f t="shared" si="24"/>
        <v>PRD-ACC-005:wireless MOUSE logitech</v>
      </c>
      <c r="AS6" t="str">
        <f t="shared" si="25"/>
        <v>rahulverma@inbox.com|9123456789</v>
      </c>
      <c r="AT6" t="str">
        <f t="shared" si="26"/>
        <v>gadget WORLD-store manager</v>
      </c>
      <c r="AU6" t="str">
        <f t="shared" si="27"/>
        <v>retail 18-Feb-2024</v>
      </c>
      <c r="AV6" t="str">
        <f t="shared" si="28"/>
        <v>654 Marine Drive,MUMBAI, maharashtra,400002</v>
      </c>
      <c r="AW6" t="str">
        <f t="shared" si="29"/>
        <v>DEPT-OPS-005_store manager</v>
      </c>
      <c r="AX6" t="str">
        <f t="shared" si="30"/>
        <v>Customer ID:cust005</v>
      </c>
      <c r="AY6" t="str">
        <f t="shared" si="31"/>
        <v>Email:rahulverma@inbox.com</v>
      </c>
      <c r="AZ6" t="str">
        <f t="shared" si="32"/>
        <v>www.accessories.in/contact</v>
      </c>
      <c r="BA6" t="str">
        <f t="shared" si="33"/>
        <v>Order Placed On 18-Feb-2024</v>
      </c>
      <c r="BB6" t="str">
        <f t="shared" si="34"/>
        <v xml:space="preserve">  RAHUL verma(retail)</v>
      </c>
      <c r="BC6" t="str">
        <f t="shared" si="35"/>
        <v>PRD-ACC-005/wireless MOUSE logitech</v>
      </c>
      <c r="BD6" t="str">
        <f t="shared" si="36"/>
        <v>call 9123456789</v>
      </c>
      <c r="BE6" t="str">
        <f t="shared" si="37"/>
        <v>gadget WORLD-DEPT-OPS-005</v>
      </c>
      <c r="BF6" t="str">
        <f t="shared" si="38"/>
        <v>cust005-5</v>
      </c>
      <c r="BG6" t="str">
        <f t="shared" si="39"/>
        <v>Customer:   RAHUL verma,Type: retail</v>
      </c>
      <c r="BH6" t="str">
        <f t="shared" si="40"/>
        <v>MUMBAI,india</v>
      </c>
      <c r="BI6" t="str">
        <f t="shared" si="41"/>
        <v>cust</v>
      </c>
      <c r="BJ6" t="str">
        <f t="shared" si="42"/>
        <v>rahulverma</v>
      </c>
      <c r="BK6" t="str">
        <f t="shared" si="43"/>
        <v xml:space="preserve">RAHUL </v>
      </c>
      <c r="BL6" t="str">
        <f t="shared" si="44"/>
        <v>PRD-A</v>
      </c>
      <c r="BM6" t="str">
        <f t="shared" si="45"/>
        <v>ret</v>
      </c>
      <c r="BN6" t="str">
        <f t="shared" si="46"/>
        <v>91234567</v>
      </c>
      <c r="BO6" t="str">
        <f t="shared" si="47"/>
        <v>inbox.com</v>
      </c>
      <c r="BP6" t="str">
        <f t="shared" si="48"/>
        <v>MUMBAI</v>
      </c>
      <c r="BQ6" t="str">
        <f t="shared" si="49"/>
        <v>t005</v>
      </c>
      <c r="BR6" t="str">
        <f t="shared" si="50"/>
        <v>verma</v>
      </c>
      <c r="BS6" t="str">
        <f t="shared" si="51"/>
        <v>CC-005</v>
      </c>
      <c r="BU6" t="str">
        <f t="shared" si="52"/>
        <v>56789</v>
      </c>
      <c r="BV6" t="str">
        <f t="shared" si="53"/>
        <v>400002</v>
      </c>
      <c r="BW6" t="str">
        <f t="shared" si="54"/>
        <v xml:space="preserve"> maharashtra</v>
      </c>
      <c r="BX6" t="str">
        <f t="shared" si="55"/>
        <v>005</v>
      </c>
      <c r="BY6" t="str">
        <f t="shared" si="56"/>
        <v>OPS</v>
      </c>
      <c r="BZ6" t="str">
        <f t="shared" si="57"/>
        <v>ACC</v>
      </c>
      <c r="CA6" t="str">
        <f t="shared" si="58"/>
        <v>Feb</v>
      </c>
      <c r="CB6" t="str">
        <f t="shared" si="59"/>
        <v xml:space="preserve">dget </v>
      </c>
      <c r="CC6">
        <f t="shared" si="60"/>
        <v>11</v>
      </c>
      <c r="CD6">
        <f t="shared" si="61"/>
        <v>13</v>
      </c>
      <c r="CE6">
        <f t="shared" si="62"/>
        <v>20</v>
      </c>
      <c r="CF6">
        <f t="shared" si="63"/>
        <v>1</v>
      </c>
      <c r="CG6">
        <f t="shared" si="64"/>
        <v>23</v>
      </c>
      <c r="CH6">
        <f t="shared" si="65"/>
        <v>7</v>
      </c>
      <c r="CI6">
        <f t="shared" si="66"/>
        <v>7</v>
      </c>
      <c r="CJ6">
        <f t="shared" si="67"/>
        <v>1</v>
      </c>
      <c r="CK6">
        <f t="shared" si="68"/>
        <v>10</v>
      </c>
      <c r="CL6">
        <f t="shared" si="69"/>
        <v>4</v>
      </c>
      <c r="CM6">
        <f t="shared" si="70"/>
        <v>16</v>
      </c>
      <c r="CN6">
        <f t="shared" si="71"/>
        <v>17</v>
      </c>
      <c r="CO6">
        <f t="shared" si="72"/>
        <v>12</v>
      </c>
      <c r="CP6">
        <f t="shared" si="73"/>
        <v>8</v>
      </c>
      <c r="CQ6">
        <f t="shared" si="74"/>
        <v>12</v>
      </c>
      <c r="CR6" t="str">
        <f t="shared" si="75"/>
        <v>not found</v>
      </c>
      <c r="CS6">
        <f t="shared" si="76"/>
        <v>6</v>
      </c>
      <c r="CT6">
        <f t="shared" si="77"/>
        <v>8</v>
      </c>
      <c r="CU6">
        <f t="shared" si="78"/>
        <v>26</v>
      </c>
      <c r="CV6">
        <f t="shared" si="79"/>
        <v>3</v>
      </c>
      <c r="CW6" t="str">
        <f t="shared" si="80"/>
        <v>Customer ID005</v>
      </c>
      <c r="CX6" t="str">
        <f t="shared" si="81"/>
        <v>rahulverma[AT]inbox.com</v>
      </c>
      <c r="CY6" t="str">
        <f t="shared" si="82"/>
        <v>Product-ACC-005</v>
      </c>
      <c r="CZ6" t="str">
        <f t="shared" si="83"/>
        <v>PRD_ACC_005</v>
      </c>
      <c r="DA6" t="str">
        <f t="shared" si="84"/>
        <v>DEPARTMENT-OPS-005</v>
      </c>
      <c r="DB6" t="str">
        <f t="shared" si="85"/>
        <v>RAHULVERMA@INBOX.in</v>
      </c>
      <c r="DC6" t="str">
        <f t="shared" si="86"/>
        <v>https://www..ACCESSORIES.IN</v>
      </c>
      <c r="DD6" t="str">
        <f t="shared" si="87"/>
        <v>//RAHUL/verma</v>
      </c>
      <c r="DE6" t="str">
        <f t="shared" si="88"/>
        <v>RETAIL CUSTOMER</v>
      </c>
      <c r="DF6" t="str">
        <f t="shared" si="89"/>
        <v>MUMBAI; maharashtra;400002</v>
      </c>
      <c r="DG6" t="str">
        <f t="shared" si="90"/>
        <v>store MANAGER</v>
      </c>
      <c r="DH6" t="str">
        <f t="shared" si="91"/>
        <v>9123456789</v>
      </c>
      <c r="DI6" t="str">
        <f t="shared" si="92"/>
        <v>gadget WORLD</v>
      </c>
      <c r="DJ6" t="str">
        <f t="shared" si="93"/>
        <v>www.accessories.in</v>
      </c>
      <c r="DK6" t="str">
        <f t="shared" si="94"/>
        <v>654  Marine  Drive</v>
      </c>
      <c r="DL6" t="str">
        <f t="shared" si="95"/>
        <v>rahulverma</v>
      </c>
      <c r="DM6" t="str">
        <f t="shared" si="96"/>
        <v>RAHUL.verma@gadget WORLD.com</v>
      </c>
      <c r="DN6" t="str">
        <f t="shared" si="97"/>
        <v>RAHUL</v>
      </c>
      <c r="DO6" t="str">
        <f t="shared" si="98"/>
        <v>verma</v>
      </c>
      <c r="DP6" t="str">
        <f t="shared" si="99"/>
        <v>verma,RAHUL</v>
      </c>
      <c r="DQ6" t="str">
        <f t="shared" si="100"/>
        <v>Name has11characters</v>
      </c>
      <c r="DR6" t="str">
        <f t="shared" si="101"/>
        <v>Valid</v>
      </c>
      <c r="DS6" t="str">
        <f t="shared" si="102"/>
        <v>9123</v>
      </c>
      <c r="DT6" t="str">
        <f t="shared" si="103"/>
        <v>cus005</v>
      </c>
      <c r="DU6" t="str">
        <f t="shared" si="104"/>
        <v>Rverma</v>
      </c>
      <c r="DV6" t="str">
        <f t="shared" si="105"/>
        <v>PRD005</v>
      </c>
      <c r="DW6" t="str">
        <f t="shared" si="106"/>
        <v>(912)  345-6789</v>
      </c>
      <c r="DX6" t="str">
        <f t="shared" si="107"/>
        <v>2024</v>
      </c>
      <c r="DY6" t="str">
        <f t="shared" si="108"/>
        <v>R</v>
      </c>
      <c r="DZ6" t="str">
        <f t="shared" si="109"/>
        <v>RAHULverma@gadget WORLD.com</v>
      </c>
      <c r="EA6" t="str">
        <f t="shared" si="110"/>
        <v>Retail</v>
      </c>
      <c r="EB6" t="str">
        <f t="shared" si="111"/>
        <v>inbox.com</v>
      </c>
      <c r="EC6">
        <f t="shared" si="112"/>
        <v>23</v>
      </c>
      <c r="ED6" t="str">
        <f t="shared" si="113"/>
        <v>MU05</v>
      </c>
      <c r="EE6" t="str">
        <f t="shared" si="114"/>
        <v>MUMBAI- maharashtra(400002)</v>
      </c>
      <c r="EF6" t="str">
        <f t="shared" si="115"/>
        <v>9123456789</v>
      </c>
      <c r="EG6" t="str">
        <f t="shared" si="116"/>
        <v>CUST-005</v>
      </c>
      <c r="EH6" t="str">
        <f t="shared" si="117"/>
        <v>public</v>
      </c>
      <c r="EI6" t="str">
        <f t="shared" si="118"/>
        <v>PRD-005-18Feb24</v>
      </c>
      <c r="EJ6" t="str">
        <f t="shared" si="119"/>
        <v>Retail</v>
      </c>
    </row>
    <row r="7" spans="1:140" x14ac:dyDescent="0.3">
      <c r="A7" t="s">
        <v>84</v>
      </c>
      <c r="B7" t="s">
        <v>1429</v>
      </c>
      <c r="C7" t="s">
        <v>1430</v>
      </c>
      <c r="D7" t="s">
        <v>85</v>
      </c>
      <c r="E7" t="s">
        <v>86</v>
      </c>
      <c r="F7" t="s">
        <v>87</v>
      </c>
      <c r="G7" t="s">
        <v>88</v>
      </c>
      <c r="H7" t="s">
        <v>1580</v>
      </c>
      <c r="I7" t="s">
        <v>1586</v>
      </c>
      <c r="J7">
        <v>560066</v>
      </c>
      <c r="K7" t="str">
        <f t="shared" si="9"/>
        <v>Bangalore, KARNATAKA,560066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tr">
        <f t="shared" si="0"/>
        <v xml:space="preserve">ANITA SINGH  </v>
      </c>
      <c r="V7" t="str">
        <f t="shared" si="1"/>
        <v>anita.singh@corporate.com</v>
      </c>
      <c r="W7" t="str">
        <f t="shared" si="10"/>
        <v>Bangalore</v>
      </c>
      <c r="X7" t="str">
        <f t="shared" si="2"/>
        <v>anita SINGH</v>
      </c>
      <c r="Y7" t="str">
        <f t="shared" si="11"/>
        <v>WHOLESALE</v>
      </c>
      <c r="Z7" t="str">
        <f t="shared" si="12"/>
        <v xml:space="preserve">  display world pvt ltd</v>
      </c>
      <c r="AA7" t="str">
        <f t="shared" si="13"/>
        <v>Operations Head</v>
      </c>
      <c r="AB7" t="str">
        <f t="shared" si="3"/>
        <v>987 Whitefield</v>
      </c>
      <c r="AC7" t="str">
        <f t="shared" si="14"/>
        <v>DEPT-OPS-006</v>
      </c>
      <c r="AD7" t="str">
        <f t="shared" si="15"/>
        <v>Samsung 27 Inch Monitor</v>
      </c>
      <c r="AE7" t="str">
        <f t="shared" si="16"/>
        <v>https://displayworld.com</v>
      </c>
      <c r="AF7" t="str">
        <f t="shared" si="17"/>
        <v>Immediate shipment</v>
      </c>
      <c r="AG7" t="str">
        <f t="shared" si="4"/>
        <v>CUST006</v>
      </c>
      <c r="AH7" t="str">
        <f t="shared" si="18"/>
        <v>PRD-MON-006</v>
      </c>
      <c r="AI7" t="str">
        <f t="shared" si="5"/>
        <v xml:space="preserve">Anita Singh  </v>
      </c>
      <c r="AJ7" t="str">
        <f t="shared" si="6"/>
        <v>(080) 3456-7890</v>
      </c>
      <c r="AK7" t="str">
        <f t="shared" si="19"/>
        <v>wholesale</v>
      </c>
      <c r="AL7" t="str">
        <f t="shared" si="20"/>
        <v>Display World Pvt Ltd</v>
      </c>
      <c r="AM7" t="str">
        <f t="shared" si="7"/>
        <v>anita.singh@corporate.com</v>
      </c>
      <c r="AN7" t="str">
        <f t="shared" si="21"/>
        <v>OPERATIONS HEAD</v>
      </c>
      <c r="AO7" t="str">
        <f t="shared" si="8"/>
        <v xml:space="preserve">Cust006-anita SINGH  </v>
      </c>
      <c r="AP7" t="str">
        <f t="shared" si="22"/>
        <v>anita SINGH</v>
      </c>
      <c r="AQ7" t="str">
        <f t="shared" si="23"/>
        <v>Bangalore, KARNATAKA</v>
      </c>
      <c r="AR7" t="str">
        <f t="shared" si="24"/>
        <v>prd-mon-006:SAMSUNG 27 inch Monitor</v>
      </c>
      <c r="AS7" t="str">
        <f t="shared" si="25"/>
        <v>ANITA.SINGH@CORPORATE.COM|(080) 3456-7890</v>
      </c>
      <c r="AT7" t="str">
        <f t="shared" si="26"/>
        <v xml:space="preserve">  Display WORLD Pvt Ltd-OPERATIONS HEAD</v>
      </c>
      <c r="AU7" t="str">
        <f t="shared" si="27"/>
        <v>WholeSale 25-Feb-2024</v>
      </c>
      <c r="AV7" t="str">
        <f t="shared" si="28"/>
        <v xml:space="preserve">  987 Whitefield  ,Bangalore, KARNATAKA,560066</v>
      </c>
      <c r="AW7" t="str">
        <f t="shared" si="29"/>
        <v>dept-ops-006_OPERATIONS HEAD</v>
      </c>
      <c r="AX7" t="str">
        <f t="shared" si="30"/>
        <v>Customer ID:Cust006</v>
      </c>
      <c r="AY7" t="str">
        <f t="shared" si="31"/>
        <v>Email:ANITA.SINGH@CORPORATE.COM</v>
      </c>
      <c r="AZ7" t="str">
        <f t="shared" si="32"/>
        <v>https://displayworld.com/contact</v>
      </c>
      <c r="BA7" t="str">
        <f t="shared" si="33"/>
        <v>Order Placed On 25-Feb-2024</v>
      </c>
      <c r="BB7" t="str">
        <f t="shared" si="34"/>
        <v>anita SINGH  (WholeSale)</v>
      </c>
      <c r="BC7" t="str">
        <f t="shared" si="35"/>
        <v>prd-mon-006/SAMSUNG 27 inch Monitor</v>
      </c>
      <c r="BD7" t="str">
        <f t="shared" si="36"/>
        <v>call (080) 3456-7890</v>
      </c>
      <c r="BE7" t="str">
        <f t="shared" si="37"/>
        <v xml:space="preserve">  Display WORLD Pvt Ltd-dept-ops-006</v>
      </c>
      <c r="BF7" t="str">
        <f t="shared" si="38"/>
        <v>Cust006-6</v>
      </c>
      <c r="BG7" t="str">
        <f t="shared" si="39"/>
        <v>Customer: anita SINGH  ,Type: WholeSale</v>
      </c>
      <c r="BH7" t="str">
        <f t="shared" si="40"/>
        <v>Bangalore,india</v>
      </c>
      <c r="BI7" t="str">
        <f t="shared" si="41"/>
        <v>Cust</v>
      </c>
      <c r="BJ7" t="str">
        <f t="shared" si="42"/>
        <v>ANITA.SING</v>
      </c>
      <c r="BK7" t="str">
        <f t="shared" si="43"/>
        <v xml:space="preserve">anita </v>
      </c>
      <c r="BL7" t="str">
        <f t="shared" si="44"/>
        <v>prd-m</v>
      </c>
      <c r="BM7" t="str">
        <f t="shared" si="45"/>
        <v>Who</v>
      </c>
      <c r="BN7" t="str">
        <f t="shared" si="46"/>
        <v>(080) 34</v>
      </c>
      <c r="BO7" t="str">
        <f t="shared" si="47"/>
        <v>CORPORATE.COM</v>
      </c>
      <c r="BP7" t="str">
        <f t="shared" si="48"/>
        <v>Bangalore</v>
      </c>
      <c r="BQ7" t="str">
        <f t="shared" si="49"/>
        <v>t006</v>
      </c>
      <c r="BR7" t="str">
        <f t="shared" si="50"/>
        <v>SINGH</v>
      </c>
      <c r="BS7" t="str">
        <f t="shared" si="51"/>
        <v>on-006</v>
      </c>
      <c r="BU7" t="str">
        <f t="shared" si="52"/>
        <v>-7890</v>
      </c>
      <c r="BV7" t="str">
        <f t="shared" si="53"/>
        <v>560066</v>
      </c>
      <c r="BW7" t="str">
        <f t="shared" si="54"/>
        <v xml:space="preserve"> KARNATAKA</v>
      </c>
      <c r="BX7" t="str">
        <f t="shared" si="55"/>
        <v>006</v>
      </c>
      <c r="BY7" t="str">
        <f t="shared" si="56"/>
        <v>ops</v>
      </c>
      <c r="BZ7" t="str">
        <f t="shared" si="57"/>
        <v>mon</v>
      </c>
      <c r="CA7" t="str">
        <f t="shared" si="58"/>
        <v>Feb</v>
      </c>
      <c r="CB7" t="str">
        <f t="shared" si="59"/>
        <v>Displ</v>
      </c>
      <c r="CC7">
        <f t="shared" si="60"/>
        <v>12</v>
      </c>
      <c r="CD7">
        <f t="shared" si="61"/>
        <v>13</v>
      </c>
      <c r="CE7">
        <f t="shared" si="62"/>
        <v>25</v>
      </c>
      <c r="CF7">
        <f t="shared" si="63"/>
        <v>6</v>
      </c>
      <c r="CG7">
        <f t="shared" si="64"/>
        <v>23</v>
      </c>
      <c r="CH7">
        <f t="shared" si="65"/>
        <v>10</v>
      </c>
      <c r="CI7">
        <f t="shared" si="66"/>
        <v>7</v>
      </c>
      <c r="CJ7" t="str">
        <f t="shared" si="67"/>
        <v>Not found</v>
      </c>
      <c r="CK7">
        <f t="shared" si="68"/>
        <v>15</v>
      </c>
      <c r="CL7">
        <f t="shared" si="69"/>
        <v>4</v>
      </c>
      <c r="CM7">
        <f t="shared" si="70"/>
        <v>18</v>
      </c>
      <c r="CN7">
        <f t="shared" si="71"/>
        <v>6</v>
      </c>
      <c r="CO7">
        <f t="shared" si="72"/>
        <v>21</v>
      </c>
      <c r="CP7">
        <f t="shared" si="73"/>
        <v>8</v>
      </c>
      <c r="CQ7">
        <f t="shared" si="74"/>
        <v>12</v>
      </c>
      <c r="CR7">
        <f t="shared" si="75"/>
        <v>7</v>
      </c>
      <c r="CS7">
        <f t="shared" si="76"/>
        <v>9</v>
      </c>
      <c r="CT7">
        <f t="shared" si="77"/>
        <v>8</v>
      </c>
      <c r="CU7">
        <f t="shared" si="78"/>
        <v>18</v>
      </c>
      <c r="CV7">
        <f t="shared" si="79"/>
        <v>3</v>
      </c>
      <c r="CW7" t="str">
        <f t="shared" si="80"/>
        <v>Customer ID006</v>
      </c>
      <c r="CX7" t="str">
        <f t="shared" si="81"/>
        <v>ANITA.SINGH[AT]CORPORATE.COM</v>
      </c>
      <c r="CY7" t="str">
        <f t="shared" si="82"/>
        <v>Product-MON-006</v>
      </c>
      <c r="CZ7" t="str">
        <f t="shared" si="83"/>
        <v>prd_mon_006</v>
      </c>
      <c r="DA7" t="str">
        <f t="shared" si="84"/>
        <v>DEPARTMENT-OPS-006</v>
      </c>
      <c r="DB7" t="str">
        <f t="shared" si="85"/>
        <v>ANITA.SINGH@CORPORATE.in</v>
      </c>
      <c r="DC7" t="str">
        <f t="shared" si="86"/>
        <v>HTTPS://DISPLAYWORLD.COM</v>
      </c>
      <c r="DD7" t="str">
        <f t="shared" si="87"/>
        <v>anita/SINGH//</v>
      </c>
      <c r="DE7" t="str">
        <f t="shared" si="88"/>
        <v>WholeSale</v>
      </c>
      <c r="DF7" t="str">
        <f t="shared" si="89"/>
        <v>Bangalore; KARNATAKA;560066</v>
      </c>
      <c r="DG7" t="str">
        <f t="shared" si="90"/>
        <v>OPERATIONS HEAD</v>
      </c>
      <c r="DH7" t="str">
        <f t="shared" si="91"/>
        <v xml:space="preserve"> 080  3456-7890</v>
      </c>
      <c r="DI7" t="str">
        <f t="shared" si="92"/>
        <v xml:space="preserve">  Display WORLD Private Limited</v>
      </c>
      <c r="DJ7" t="str">
        <f t="shared" si="93"/>
        <v>https:://displayworld.com</v>
      </c>
      <c r="DK7" t="str">
        <f t="shared" si="94"/>
        <v xml:space="preserve">    987  Whitefield    </v>
      </c>
      <c r="DL7" t="str">
        <f t="shared" si="95"/>
        <v>ANITA.SINGH</v>
      </c>
      <c r="DM7" t="str">
        <f t="shared" si="96"/>
        <v>anita.SINGH@  Display WORLD Pvt Ltd.com</v>
      </c>
      <c r="DN7" t="str">
        <f t="shared" si="97"/>
        <v>anita</v>
      </c>
      <c r="DO7" t="str">
        <f t="shared" si="98"/>
        <v>SINGH</v>
      </c>
      <c r="DP7" t="str">
        <f t="shared" si="99"/>
        <v>SINGH,anita</v>
      </c>
      <c r="DQ7" t="str">
        <f t="shared" si="100"/>
        <v>Name has11characters</v>
      </c>
      <c r="DR7" t="str">
        <f t="shared" si="101"/>
        <v>Valid</v>
      </c>
      <c r="DS7" t="str">
        <f t="shared" si="102"/>
        <v>(080</v>
      </c>
      <c r="DT7" t="str">
        <f t="shared" si="103"/>
        <v>Cus006</v>
      </c>
      <c r="DU7" t="str">
        <f t="shared" si="104"/>
        <v>asingh</v>
      </c>
      <c r="DV7" t="str">
        <f t="shared" si="105"/>
        <v>prd006</v>
      </c>
      <c r="DW7" t="str">
        <f t="shared" si="106"/>
        <v>(080) 3456-7890</v>
      </c>
      <c r="DX7" t="str">
        <f t="shared" si="107"/>
        <v>2024</v>
      </c>
      <c r="DY7" t="str">
        <f t="shared" si="108"/>
        <v>a</v>
      </c>
      <c r="DZ7" t="str">
        <f t="shared" si="109"/>
        <v>anitaSINGH@  Display WORLD Pvt Ltd.com</v>
      </c>
      <c r="EA7" t="str">
        <f t="shared" si="110"/>
        <v>Wholesale</v>
      </c>
      <c r="EB7" t="str">
        <f t="shared" si="111"/>
        <v>CORPORATE.COM</v>
      </c>
      <c r="EC7">
        <f t="shared" si="112"/>
        <v>23</v>
      </c>
      <c r="ED7" t="str">
        <f t="shared" si="113"/>
        <v>Ba06</v>
      </c>
      <c r="EE7" t="str">
        <f t="shared" si="114"/>
        <v>Bangalore- KARNATAKA(560066)</v>
      </c>
      <c r="EF7" t="str">
        <f t="shared" si="115"/>
        <v>08034567890</v>
      </c>
      <c r="EG7" t="str">
        <f t="shared" si="116"/>
        <v>CUST-006</v>
      </c>
      <c r="EH7" t="str">
        <f t="shared" si="117"/>
        <v>Private</v>
      </c>
      <c r="EI7" t="str">
        <f t="shared" si="118"/>
        <v>PRD-006-25Feb24</v>
      </c>
      <c r="EJ7" t="str">
        <f t="shared" si="119"/>
        <v>Wholesale</v>
      </c>
    </row>
    <row r="8" spans="1:140" x14ac:dyDescent="0.3">
      <c r="A8" t="s">
        <v>98</v>
      </c>
      <c r="B8" t="s">
        <v>1431</v>
      </c>
      <c r="C8" t="s">
        <v>1432</v>
      </c>
      <c r="D8" t="s">
        <v>99</v>
      </c>
      <c r="E8" t="s">
        <v>100</v>
      </c>
      <c r="F8" t="s">
        <v>101</v>
      </c>
      <c r="G8" t="s">
        <v>102</v>
      </c>
      <c r="H8" t="s">
        <v>1587</v>
      </c>
      <c r="I8" t="s">
        <v>1588</v>
      </c>
      <c r="J8">
        <v>600002</v>
      </c>
      <c r="K8" t="str">
        <f t="shared" si="9"/>
        <v>chennai, Tamil Nadu,600002</v>
      </c>
      <c r="L8" t="s">
        <v>103</v>
      </c>
      <c r="M8" t="s">
        <v>104</v>
      </c>
      <c r="N8" t="s">
        <v>105</v>
      </c>
      <c r="O8" t="s">
        <v>50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tr">
        <f t="shared" si="0"/>
        <v>VIKRAM MEHTA</v>
      </c>
      <c r="V8" t="str">
        <f t="shared" si="1"/>
        <v>vikram_mehta@email.in</v>
      </c>
      <c r="W8" t="str">
        <f t="shared" si="10"/>
        <v>Chennai</v>
      </c>
      <c r="X8" t="str">
        <f t="shared" si="2"/>
        <v>vikram mehta</v>
      </c>
      <c r="Y8" t="str">
        <f t="shared" si="11"/>
        <v>RETAIL</v>
      </c>
      <c r="Z8" t="str">
        <f t="shared" si="12"/>
        <v>print solutions</v>
      </c>
      <c r="AA8" t="str">
        <f t="shared" si="13"/>
        <v>Admin Manager</v>
      </c>
      <c r="AB8" t="str">
        <f t="shared" si="3"/>
        <v>147 Anna Salai</v>
      </c>
      <c r="AC8" t="str">
        <f t="shared" si="14"/>
        <v>DEPT-ADM-007</v>
      </c>
      <c r="AD8" t="str">
        <f t="shared" si="15"/>
        <v>Canon Pixma Printer</v>
      </c>
      <c r="AE8" t="str">
        <f t="shared" si="16"/>
        <v>www.printersolutions.com</v>
      </c>
      <c r="AF8" t="str">
        <f t="shared" si="17"/>
        <v>Installation required</v>
      </c>
      <c r="AG8" t="str">
        <f t="shared" si="4"/>
        <v>CUST007</v>
      </c>
      <c r="AH8" t="str">
        <f t="shared" si="18"/>
        <v>PRD-PRT-007</v>
      </c>
      <c r="AI8" t="str">
        <f t="shared" si="5"/>
        <v>Vikram Mehta</v>
      </c>
      <c r="AJ8" t="str">
        <f t="shared" si="6"/>
        <v>+91-9876501234</v>
      </c>
      <c r="AK8" t="str">
        <f t="shared" si="19"/>
        <v>retail</v>
      </c>
      <c r="AL8" t="str">
        <f t="shared" si="20"/>
        <v>Print Solutions</v>
      </c>
      <c r="AM8" t="str">
        <f t="shared" si="7"/>
        <v>vikram_mehta@email.in</v>
      </c>
      <c r="AN8" t="str">
        <f t="shared" si="21"/>
        <v>ADMIN MANAGER</v>
      </c>
      <c r="AO8" t="str">
        <f t="shared" si="8"/>
        <v>CUST007-vikram mehta</v>
      </c>
      <c r="AP8" t="str">
        <f t="shared" si="22"/>
        <v>vikram mehta</v>
      </c>
      <c r="AQ8" t="str">
        <f t="shared" si="23"/>
        <v>chennai, Tamil Nadu</v>
      </c>
      <c r="AR8" t="str">
        <f t="shared" si="24"/>
        <v>PRD-PRT-007:canon PIXMA Printer</v>
      </c>
      <c r="AS8" t="str">
        <f t="shared" si="25"/>
        <v>vikram_mehta@email.in|+91-9876501234</v>
      </c>
      <c r="AT8" t="str">
        <f t="shared" si="26"/>
        <v>Print Solutions-admin manager</v>
      </c>
      <c r="AU8" t="str">
        <f t="shared" si="27"/>
        <v>Retail 03-Mar-2024</v>
      </c>
      <c r="AV8" t="str">
        <f t="shared" si="28"/>
        <v>147 Anna Salai,chennai, Tamil Nadu,600002</v>
      </c>
      <c r="AW8" t="str">
        <f t="shared" si="29"/>
        <v>DEPT-ADM-007_admin manager</v>
      </c>
      <c r="AX8" t="str">
        <f t="shared" si="30"/>
        <v>Customer ID:CUST007</v>
      </c>
      <c r="AY8" t="str">
        <f t="shared" si="31"/>
        <v>Email:vikram_mehta@email.in</v>
      </c>
      <c r="AZ8" t="str">
        <f t="shared" si="32"/>
        <v>WWW.PRINTERSOLUTIONS.COM/contact</v>
      </c>
      <c r="BA8" t="str">
        <f t="shared" si="33"/>
        <v>Order Placed On 03-Mar-2024</v>
      </c>
      <c r="BB8" t="str">
        <f t="shared" si="34"/>
        <v>vikram mehta(Retail)</v>
      </c>
      <c r="BC8" t="str">
        <f t="shared" si="35"/>
        <v>PRD-PRT-007/canon PIXMA Printer</v>
      </c>
      <c r="BD8" t="str">
        <f t="shared" si="36"/>
        <v>call +91-9876501234</v>
      </c>
      <c r="BE8" t="str">
        <f t="shared" si="37"/>
        <v>Print Solutions-DEPT-ADM-007</v>
      </c>
      <c r="BF8" t="str">
        <f t="shared" si="38"/>
        <v>CUST007-7</v>
      </c>
      <c r="BG8" t="str">
        <f t="shared" si="39"/>
        <v>Customer: vikram mehta,Type: Retail</v>
      </c>
      <c r="BH8" t="str">
        <f t="shared" si="40"/>
        <v>chennai,india</v>
      </c>
      <c r="BI8" t="str">
        <f t="shared" si="41"/>
        <v>CUST</v>
      </c>
      <c r="BJ8" t="str">
        <f t="shared" si="42"/>
        <v>vikram_meh</v>
      </c>
      <c r="BK8" t="str">
        <f t="shared" si="43"/>
        <v xml:space="preserve">vikram </v>
      </c>
      <c r="BL8" t="str">
        <f t="shared" si="44"/>
        <v>PRD-P</v>
      </c>
      <c r="BM8" t="str">
        <f t="shared" si="45"/>
        <v>Ret</v>
      </c>
      <c r="BN8" t="str">
        <f t="shared" si="46"/>
        <v>+91-9876</v>
      </c>
      <c r="BO8" t="str">
        <f t="shared" si="47"/>
        <v>email.in</v>
      </c>
      <c r="BP8" t="str">
        <f t="shared" si="48"/>
        <v>chennai</v>
      </c>
      <c r="BQ8" t="str">
        <f t="shared" si="49"/>
        <v>T007</v>
      </c>
      <c r="BR8" t="str">
        <f t="shared" si="50"/>
        <v xml:space="preserve"> mehta</v>
      </c>
      <c r="BS8" t="str">
        <f t="shared" si="51"/>
        <v>RT-007</v>
      </c>
      <c r="BU8" t="str">
        <f t="shared" si="52"/>
        <v>01234</v>
      </c>
      <c r="BV8" t="str">
        <f t="shared" si="53"/>
        <v>600002</v>
      </c>
      <c r="BW8" t="str">
        <f t="shared" si="54"/>
        <v xml:space="preserve"> Tamil Nadu</v>
      </c>
      <c r="BX8" t="str">
        <f t="shared" si="55"/>
        <v>007</v>
      </c>
      <c r="BY8" t="str">
        <f t="shared" si="56"/>
        <v>ADM</v>
      </c>
      <c r="BZ8" t="str">
        <f t="shared" si="57"/>
        <v>PRT</v>
      </c>
      <c r="CA8" t="str">
        <f t="shared" si="58"/>
        <v>Mar</v>
      </c>
      <c r="CB8" t="str">
        <f t="shared" si="59"/>
        <v>int S</v>
      </c>
      <c r="CC8">
        <f t="shared" si="60"/>
        <v>13</v>
      </c>
      <c r="CD8">
        <f t="shared" si="61"/>
        <v>12</v>
      </c>
      <c r="CE8">
        <f t="shared" si="62"/>
        <v>21</v>
      </c>
      <c r="CF8">
        <f t="shared" si="63"/>
        <v>7</v>
      </c>
      <c r="CG8">
        <f t="shared" si="64"/>
        <v>19</v>
      </c>
      <c r="CH8">
        <f t="shared" si="65"/>
        <v>8</v>
      </c>
      <c r="CI8">
        <f t="shared" si="66"/>
        <v>7</v>
      </c>
      <c r="CJ8" t="str">
        <f t="shared" si="67"/>
        <v>Not found</v>
      </c>
      <c r="CK8">
        <f t="shared" si="68"/>
        <v>14</v>
      </c>
      <c r="CL8">
        <f t="shared" si="69"/>
        <v>4</v>
      </c>
      <c r="CM8">
        <f t="shared" si="70"/>
        <v>14</v>
      </c>
      <c r="CN8">
        <f t="shared" si="71"/>
        <v>19</v>
      </c>
      <c r="CO8">
        <f t="shared" si="72"/>
        <v>15</v>
      </c>
      <c r="CP8">
        <f t="shared" si="73"/>
        <v>8</v>
      </c>
      <c r="CQ8">
        <f t="shared" si="74"/>
        <v>12</v>
      </c>
      <c r="CR8" t="str">
        <f t="shared" si="75"/>
        <v>not found</v>
      </c>
      <c r="CS8">
        <f t="shared" si="76"/>
        <v>6</v>
      </c>
      <c r="CT8">
        <f t="shared" si="77"/>
        <v>8</v>
      </c>
      <c r="CU8">
        <f t="shared" si="78"/>
        <v>25</v>
      </c>
      <c r="CV8">
        <f t="shared" si="79"/>
        <v>3</v>
      </c>
      <c r="CW8" t="str">
        <f t="shared" si="80"/>
        <v>Customer ID007</v>
      </c>
      <c r="CX8" t="str">
        <f t="shared" si="81"/>
        <v>vikram_mehta[AT]email.in</v>
      </c>
      <c r="CY8" t="str">
        <f t="shared" si="82"/>
        <v>Product-PRT-007</v>
      </c>
      <c r="CZ8" t="str">
        <f t="shared" si="83"/>
        <v>PRD_PRT_007</v>
      </c>
      <c r="DA8" t="str">
        <f t="shared" si="84"/>
        <v>DEPARTMENT-ADM-007</v>
      </c>
      <c r="DB8" t="str">
        <f t="shared" si="85"/>
        <v>VIKRAM_MEHTA@EMAIL.IN</v>
      </c>
      <c r="DC8" t="str">
        <f t="shared" si="86"/>
        <v>https://www..PRINTERSOLUTIONS.COM</v>
      </c>
      <c r="DD8" t="str">
        <f t="shared" si="87"/>
        <v>vikram/mehta</v>
      </c>
      <c r="DE8" t="str">
        <f t="shared" si="88"/>
        <v>Retail</v>
      </c>
      <c r="DF8" t="str">
        <f t="shared" si="89"/>
        <v>chennai; Tamil Nadu;600002</v>
      </c>
      <c r="DG8" t="str">
        <f t="shared" si="90"/>
        <v>admin MANAGER</v>
      </c>
      <c r="DH8" t="str">
        <f t="shared" si="91"/>
        <v>+91-9876501234</v>
      </c>
      <c r="DI8" t="str">
        <f t="shared" si="92"/>
        <v>Print Solutions</v>
      </c>
      <c r="DJ8" t="str">
        <f t="shared" si="93"/>
        <v>WWW.PRINTERSOLUTIONS.COM</v>
      </c>
      <c r="DK8" t="str">
        <f t="shared" si="94"/>
        <v>147  Anna  Salai</v>
      </c>
      <c r="DL8" t="str">
        <f t="shared" si="95"/>
        <v>vikram_mehta</v>
      </c>
      <c r="DM8" t="str">
        <f t="shared" si="96"/>
        <v>vikram.mehta@Print Solutions.com</v>
      </c>
      <c r="DN8" t="str">
        <f t="shared" si="97"/>
        <v>vikram</v>
      </c>
      <c r="DO8" t="str">
        <f t="shared" si="98"/>
        <v>mehta</v>
      </c>
      <c r="DP8" t="str">
        <f t="shared" si="99"/>
        <v>mehta,vikram</v>
      </c>
      <c r="DQ8" t="str">
        <f t="shared" si="100"/>
        <v>Name has12characters</v>
      </c>
      <c r="DR8" t="str">
        <f t="shared" si="101"/>
        <v>Check Domain</v>
      </c>
      <c r="DS8" t="str">
        <f t="shared" si="102"/>
        <v>+91-</v>
      </c>
      <c r="DT8" t="str">
        <f t="shared" si="103"/>
        <v>CUS007</v>
      </c>
      <c r="DU8" t="str">
        <f t="shared" si="104"/>
        <v>vmehta</v>
      </c>
      <c r="DV8" t="str">
        <f t="shared" si="105"/>
        <v>PRD007</v>
      </c>
      <c r="DW8" t="str">
        <f t="shared" si="106"/>
        <v>+91-9876501234</v>
      </c>
      <c r="DX8" t="str">
        <f t="shared" si="107"/>
        <v>2024</v>
      </c>
      <c r="DY8" t="str">
        <f t="shared" si="108"/>
        <v>v</v>
      </c>
      <c r="DZ8" t="str">
        <f t="shared" si="109"/>
        <v>vikrammehta@Print Solutions.com</v>
      </c>
      <c r="EA8" t="str">
        <f t="shared" si="110"/>
        <v>Retail</v>
      </c>
      <c r="EB8" t="str">
        <f t="shared" si="111"/>
        <v>email.in</v>
      </c>
      <c r="EC8">
        <f t="shared" si="112"/>
        <v>19</v>
      </c>
      <c r="ED8" t="str">
        <f t="shared" si="113"/>
        <v>ch07</v>
      </c>
      <c r="EE8" t="str">
        <f t="shared" si="114"/>
        <v>chennai- Tamil Nadu(600002)</v>
      </c>
      <c r="EF8" t="str">
        <f t="shared" si="115"/>
        <v>919876501234</v>
      </c>
      <c r="EG8" t="str">
        <f t="shared" si="116"/>
        <v>CUST-007</v>
      </c>
      <c r="EH8" t="str">
        <f t="shared" si="117"/>
        <v>public</v>
      </c>
      <c r="EI8" t="str">
        <f t="shared" si="118"/>
        <v>PRD-007-03Mar24</v>
      </c>
      <c r="EJ8" t="str">
        <f t="shared" si="119"/>
        <v>Retail</v>
      </c>
    </row>
    <row r="9" spans="1:140" x14ac:dyDescent="0.3">
      <c r="A9" t="s">
        <v>111</v>
      </c>
      <c r="B9" t="s">
        <v>1433</v>
      </c>
      <c r="C9" t="s">
        <v>1434</v>
      </c>
      <c r="D9" t="s">
        <v>112</v>
      </c>
      <c r="E9" t="s">
        <v>113</v>
      </c>
      <c r="F9" t="s">
        <v>114</v>
      </c>
      <c r="G9" t="s">
        <v>115</v>
      </c>
      <c r="H9" t="s">
        <v>1589</v>
      </c>
      <c r="I9" t="s">
        <v>1590</v>
      </c>
      <c r="J9">
        <v>110001</v>
      </c>
      <c r="K9" t="str">
        <f t="shared" si="9"/>
        <v>DELHI, Delhi,110001</v>
      </c>
      <c r="L9" t="s">
        <v>116</v>
      </c>
      <c r="M9" t="s">
        <v>117</v>
      </c>
      <c r="N9" t="s">
        <v>118</v>
      </c>
      <c r="O9" t="s">
        <v>22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tr">
        <f t="shared" si="0"/>
        <v>NEHA GUPTA</v>
      </c>
      <c r="V9" t="str">
        <f t="shared" si="1"/>
        <v>neha.gupta@webmail.com</v>
      </c>
      <c r="W9" t="str">
        <f t="shared" si="10"/>
        <v>Delhi</v>
      </c>
      <c r="X9" t="str">
        <f t="shared" si="2"/>
        <v>NEHA gupta</v>
      </c>
      <c r="Y9" t="str">
        <f t="shared" si="11"/>
        <v>RETAIL</v>
      </c>
      <c r="Z9" t="str">
        <f t="shared" si="12"/>
        <v>peripheral paradise</v>
      </c>
      <c r="AA9" t="str">
        <f t="shared" si="13"/>
        <v>Sales Executive</v>
      </c>
      <c r="AB9" t="str">
        <f t="shared" si="3"/>
        <v>258 Connaught Place</v>
      </c>
      <c r="AC9" t="str">
        <f t="shared" si="14"/>
        <v>DEPT-SALES-008</v>
      </c>
      <c r="AD9" t="str">
        <f t="shared" si="15"/>
        <v>Logitech Mechanical Keyboard</v>
      </c>
      <c r="AE9" t="str">
        <f t="shared" si="16"/>
        <v>www.peripherals.in</v>
      </c>
      <c r="AF9" t="str">
        <f t="shared" si="17"/>
        <v>Gift wrapping needed</v>
      </c>
      <c r="AG9" t="str">
        <f t="shared" si="4"/>
        <v>CUST008</v>
      </c>
      <c r="AH9" t="str">
        <f t="shared" si="18"/>
        <v>PRD-KEY-008</v>
      </c>
      <c r="AI9" t="str">
        <f t="shared" si="5"/>
        <v>Neha Gupta</v>
      </c>
      <c r="AJ9" t="str">
        <f t="shared" si="6"/>
        <v>011-98765432</v>
      </c>
      <c r="AK9" t="str">
        <f t="shared" si="19"/>
        <v>retail</v>
      </c>
      <c r="AL9" t="str">
        <f t="shared" si="20"/>
        <v>Peripheral Paradise</v>
      </c>
      <c r="AM9" t="str">
        <f t="shared" si="7"/>
        <v>neha.gupta@webmail.com</v>
      </c>
      <c r="AN9" t="str">
        <f t="shared" si="21"/>
        <v>SALES EXECUTIVE</v>
      </c>
      <c r="AO9" t="str">
        <f t="shared" si="8"/>
        <v>cust008-NEHA gupta</v>
      </c>
      <c r="AP9" t="str">
        <f t="shared" si="22"/>
        <v>NEHA gupta</v>
      </c>
      <c r="AQ9" t="str">
        <f t="shared" si="23"/>
        <v>DELHI, Delhi</v>
      </c>
      <c r="AR9" t="str">
        <f t="shared" si="24"/>
        <v>prd-key-008:LOGITECH mechanical KEYBOARD</v>
      </c>
      <c r="AS9" t="str">
        <f t="shared" si="25"/>
        <v>neha.gupta@webmail.com|011-98765432</v>
      </c>
      <c r="AT9" t="str">
        <f t="shared" si="26"/>
        <v>PERIPHERAL paradise-Sales Executive</v>
      </c>
      <c r="AU9" t="str">
        <f t="shared" si="27"/>
        <v>RETAIL 10-Mar-2024</v>
      </c>
      <c r="AV9" t="str">
        <f t="shared" si="28"/>
        <v xml:space="preserve">  258 Connaught Place  ,DELHI, Delhi,110001</v>
      </c>
      <c r="AW9" t="str">
        <f t="shared" si="29"/>
        <v>dept-sales-008_Sales Executive</v>
      </c>
      <c r="AX9" t="str">
        <f t="shared" si="30"/>
        <v>Customer ID:cust008</v>
      </c>
      <c r="AY9" t="str">
        <f t="shared" si="31"/>
        <v>Email:neha.gupta@webmail.com</v>
      </c>
      <c r="AZ9" t="str">
        <f t="shared" si="32"/>
        <v>www.peripherals.in/contact</v>
      </c>
      <c r="BA9" t="str">
        <f t="shared" si="33"/>
        <v>Order Placed On 10-Mar-2024</v>
      </c>
      <c r="BB9" t="str">
        <f t="shared" si="34"/>
        <v>NEHA gupta(RETAIL)</v>
      </c>
      <c r="BC9" t="str">
        <f t="shared" si="35"/>
        <v>prd-key-008/LOGITECH mechanical KEYBOARD</v>
      </c>
      <c r="BD9" t="str">
        <f t="shared" si="36"/>
        <v>call 011-98765432</v>
      </c>
      <c r="BE9" t="str">
        <f t="shared" si="37"/>
        <v>PERIPHERAL paradise-dept-sales-008</v>
      </c>
      <c r="BF9" t="str">
        <f t="shared" si="38"/>
        <v>cust008-8</v>
      </c>
      <c r="BG9" t="str">
        <f t="shared" si="39"/>
        <v>Customer: NEHA gupta,Type: RETAIL</v>
      </c>
      <c r="BH9" t="str">
        <f t="shared" si="40"/>
        <v>DELHI,india</v>
      </c>
      <c r="BI9" t="str">
        <f t="shared" si="41"/>
        <v>cust</v>
      </c>
      <c r="BJ9" t="str">
        <f t="shared" si="42"/>
        <v>neha.gupta</v>
      </c>
      <c r="BK9" t="str">
        <f t="shared" si="43"/>
        <v xml:space="preserve">NEHA </v>
      </c>
      <c r="BL9" t="str">
        <f t="shared" si="44"/>
        <v>prd-k</v>
      </c>
      <c r="BM9" t="str">
        <f t="shared" si="45"/>
        <v>RET</v>
      </c>
      <c r="BN9" t="str">
        <f t="shared" si="46"/>
        <v>011-9876</v>
      </c>
      <c r="BO9" t="str">
        <f t="shared" si="47"/>
        <v>webmail.com</v>
      </c>
      <c r="BP9" t="str">
        <f t="shared" si="48"/>
        <v>DELHI</v>
      </c>
      <c r="BQ9" t="str">
        <f t="shared" si="49"/>
        <v>t008</v>
      </c>
      <c r="BR9" t="str">
        <f t="shared" si="50"/>
        <v>upta</v>
      </c>
      <c r="BS9" t="str">
        <f t="shared" si="51"/>
        <v>ey-008</v>
      </c>
      <c r="BU9" t="str">
        <f t="shared" si="52"/>
        <v>65432</v>
      </c>
      <c r="BV9" t="str">
        <f t="shared" si="53"/>
        <v>110001</v>
      </c>
      <c r="BW9" t="str">
        <f t="shared" si="54"/>
        <v xml:space="preserve"> Delhi</v>
      </c>
      <c r="BX9" t="str">
        <f t="shared" si="55"/>
        <v>008</v>
      </c>
      <c r="BY9" t="str">
        <f t="shared" si="56"/>
        <v>sales</v>
      </c>
      <c r="BZ9" t="str">
        <f t="shared" si="57"/>
        <v>key</v>
      </c>
      <c r="CA9" t="str">
        <f t="shared" si="58"/>
        <v>Mar</v>
      </c>
      <c r="CB9" t="str">
        <f t="shared" si="59"/>
        <v>RIPHE</v>
      </c>
      <c r="CC9">
        <f t="shared" si="60"/>
        <v>11</v>
      </c>
      <c r="CD9">
        <f t="shared" si="61"/>
        <v>10</v>
      </c>
      <c r="CE9">
        <f t="shared" si="62"/>
        <v>22</v>
      </c>
      <c r="CF9">
        <f t="shared" si="63"/>
        <v>5</v>
      </c>
      <c r="CG9">
        <f t="shared" si="64"/>
        <v>28</v>
      </c>
      <c r="CH9">
        <f t="shared" si="65"/>
        <v>6</v>
      </c>
      <c r="CI9">
        <f t="shared" si="66"/>
        <v>7</v>
      </c>
      <c r="CJ9">
        <f t="shared" si="67"/>
        <v>1</v>
      </c>
      <c r="CK9">
        <f t="shared" si="68"/>
        <v>12</v>
      </c>
      <c r="CL9">
        <f t="shared" si="69"/>
        <v>4</v>
      </c>
      <c r="CM9">
        <f t="shared" si="70"/>
        <v>23</v>
      </c>
      <c r="CN9">
        <f t="shared" si="71"/>
        <v>5</v>
      </c>
      <c r="CO9">
        <f t="shared" si="72"/>
        <v>19</v>
      </c>
      <c r="CP9">
        <f t="shared" si="73"/>
        <v>8</v>
      </c>
      <c r="CQ9">
        <f t="shared" si="74"/>
        <v>14</v>
      </c>
      <c r="CR9" t="str">
        <f t="shared" si="75"/>
        <v>not found</v>
      </c>
      <c r="CS9">
        <f t="shared" si="76"/>
        <v>6</v>
      </c>
      <c r="CT9">
        <f t="shared" si="77"/>
        <v>8</v>
      </c>
      <c r="CU9">
        <f t="shared" si="78"/>
        <v>20</v>
      </c>
      <c r="CV9">
        <f t="shared" si="79"/>
        <v>3</v>
      </c>
      <c r="CW9" t="str">
        <f t="shared" si="80"/>
        <v>Customer ID008</v>
      </c>
      <c r="CX9" t="str">
        <f t="shared" si="81"/>
        <v>neha.gupta[AT]webmail.com</v>
      </c>
      <c r="CY9" t="str">
        <f t="shared" si="82"/>
        <v>Product-KEY-008</v>
      </c>
      <c r="CZ9" t="str">
        <f t="shared" si="83"/>
        <v>prd_key_008</v>
      </c>
      <c r="DA9" t="str">
        <f t="shared" si="84"/>
        <v>DEPARTMENT-SALES-008</v>
      </c>
      <c r="DB9" t="str">
        <f t="shared" si="85"/>
        <v>NEHA.GUPTA@WEBMAIL.in</v>
      </c>
      <c r="DC9" t="str">
        <f t="shared" si="86"/>
        <v>https://www..PERIPHERALS.IN</v>
      </c>
      <c r="DD9" t="str">
        <f t="shared" si="87"/>
        <v>NEHA/gupta</v>
      </c>
      <c r="DE9" t="str">
        <f t="shared" si="88"/>
        <v>RETAIL</v>
      </c>
      <c r="DF9" t="str">
        <f t="shared" si="89"/>
        <v>DELHI; Delhi;110001</v>
      </c>
      <c r="DG9" t="str">
        <f t="shared" si="90"/>
        <v>Sales Executive</v>
      </c>
      <c r="DH9" t="str">
        <f t="shared" si="91"/>
        <v>011-98765432</v>
      </c>
      <c r="DI9" t="str">
        <f t="shared" si="92"/>
        <v>PERIPHERAL paradise</v>
      </c>
      <c r="DJ9" t="str">
        <f t="shared" si="93"/>
        <v>www.peripherals.in</v>
      </c>
      <c r="DK9" t="str">
        <f t="shared" si="94"/>
        <v xml:space="preserve">    258  Connaught  Place    </v>
      </c>
      <c r="DL9" t="str">
        <f t="shared" si="95"/>
        <v>neha.gupta</v>
      </c>
      <c r="DM9" t="str">
        <f t="shared" si="96"/>
        <v>NEHA.gupta@PERIPHERAL paradise.com</v>
      </c>
      <c r="DN9" t="str">
        <f t="shared" si="97"/>
        <v>NEHA</v>
      </c>
      <c r="DO9" t="str">
        <f t="shared" si="98"/>
        <v>gupta</v>
      </c>
      <c r="DP9" t="str">
        <f t="shared" si="99"/>
        <v>gupta,NEHA</v>
      </c>
      <c r="DQ9" t="str">
        <f t="shared" si="100"/>
        <v>Name has10characters</v>
      </c>
      <c r="DR9" t="str">
        <f t="shared" si="101"/>
        <v>Valid</v>
      </c>
      <c r="DS9" t="str">
        <f t="shared" si="102"/>
        <v>011-</v>
      </c>
      <c r="DT9" t="str">
        <f t="shared" si="103"/>
        <v>cus008</v>
      </c>
      <c r="DU9" t="str">
        <f t="shared" si="104"/>
        <v>Ngupta</v>
      </c>
      <c r="DV9" t="str">
        <f t="shared" si="105"/>
        <v>prd008</v>
      </c>
      <c r="DW9" t="str">
        <f t="shared" si="106"/>
        <v>011-98765432</v>
      </c>
      <c r="DX9" t="str">
        <f t="shared" si="107"/>
        <v>2024</v>
      </c>
      <c r="DY9" t="str">
        <f t="shared" si="108"/>
        <v>N</v>
      </c>
      <c r="DZ9" t="str">
        <f t="shared" si="109"/>
        <v>NEHAgupta@PERIPHERAL paradise.com</v>
      </c>
      <c r="EA9" t="str">
        <f t="shared" si="110"/>
        <v>Retail</v>
      </c>
      <c r="EB9" t="str">
        <f t="shared" si="111"/>
        <v>webmail.com</v>
      </c>
      <c r="EC9">
        <f t="shared" si="112"/>
        <v>28</v>
      </c>
      <c r="ED9" t="str">
        <f t="shared" si="113"/>
        <v>DE08</v>
      </c>
      <c r="EE9" t="str">
        <f t="shared" si="114"/>
        <v>DELHI- Delhi(110001)</v>
      </c>
      <c r="EF9" t="str">
        <f t="shared" si="115"/>
        <v>01198765432</v>
      </c>
      <c r="EG9" t="str">
        <f t="shared" si="116"/>
        <v>CUST-008</v>
      </c>
      <c r="EH9" t="str">
        <f t="shared" si="117"/>
        <v>public</v>
      </c>
      <c r="EI9" t="str">
        <f t="shared" si="118"/>
        <v>PRD-008-10Mar24</v>
      </c>
      <c r="EJ9" t="str">
        <f t="shared" si="119"/>
        <v>Retail</v>
      </c>
    </row>
    <row r="10" spans="1:140" x14ac:dyDescent="0.3">
      <c r="A10" t="s">
        <v>124</v>
      </c>
      <c r="B10" t="s">
        <v>1435</v>
      </c>
      <c r="C10" t="s">
        <v>1436</v>
      </c>
      <c r="D10" t="s">
        <v>125</v>
      </c>
      <c r="E10" t="s">
        <v>126</v>
      </c>
      <c r="F10" t="s">
        <v>127</v>
      </c>
      <c r="G10" t="s">
        <v>128</v>
      </c>
      <c r="H10" t="s">
        <v>1591</v>
      </c>
      <c r="I10" t="s">
        <v>1592</v>
      </c>
      <c r="J10">
        <v>380009</v>
      </c>
      <c r="K10" t="str">
        <f t="shared" si="9"/>
        <v>Ahmedabad, gujarat,380009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  <c r="S10" t="s">
        <v>136</v>
      </c>
      <c r="T10" t="s">
        <v>137</v>
      </c>
      <c r="U10" t="str">
        <f t="shared" si="0"/>
        <v xml:space="preserve">SANJAY JOSHI  </v>
      </c>
      <c r="V10" t="str">
        <f t="shared" si="1"/>
        <v>sanjay.joshi@company.co.in</v>
      </c>
      <c r="W10" t="str">
        <f t="shared" si="10"/>
        <v>Ahmedabad</v>
      </c>
      <c r="X10" t="str">
        <f t="shared" si="2"/>
        <v>sanjay JOSHI</v>
      </c>
      <c r="Y10" t="str">
        <f t="shared" si="11"/>
        <v>CORPORATE</v>
      </c>
      <c r="Z10" t="str">
        <f t="shared" si="12"/>
        <v xml:space="preserve">  video gear solutions  </v>
      </c>
      <c r="AA10" t="str">
        <f t="shared" si="13"/>
        <v>It Head</v>
      </c>
      <c r="AB10" t="str">
        <f t="shared" si="3"/>
        <v>369 CG Road</v>
      </c>
      <c r="AC10" t="str">
        <f t="shared" si="14"/>
        <v>DEPT-IT-009</v>
      </c>
      <c r="AD10" t="str">
        <f t="shared" si="15"/>
        <v>Logitech C920 Webcam</v>
      </c>
      <c r="AE10" t="str">
        <f t="shared" si="16"/>
        <v>https://www.videogear.com</v>
      </c>
      <c r="AF10" t="str">
        <f t="shared" si="17"/>
        <v>Urgent requirement</v>
      </c>
      <c r="AG10" t="str">
        <f t="shared" si="4"/>
        <v>CUST009</v>
      </c>
      <c r="AH10" t="str">
        <f t="shared" si="18"/>
        <v>PRD-CAM-009</v>
      </c>
      <c r="AI10" t="str">
        <f t="shared" si="5"/>
        <v xml:space="preserve">Sanjay Joshi  </v>
      </c>
      <c r="AJ10" t="str">
        <f t="shared" si="6"/>
        <v>(079) 2468-1357</v>
      </c>
      <c r="AK10" t="str">
        <f t="shared" si="19"/>
        <v>corporate</v>
      </c>
      <c r="AL10" t="str">
        <f t="shared" si="20"/>
        <v>Video Gear Solutions</v>
      </c>
      <c r="AM10" t="str">
        <f t="shared" si="7"/>
        <v>sanjay.joshi@company.co.in</v>
      </c>
      <c r="AN10" t="str">
        <f t="shared" si="21"/>
        <v>IT HEAD</v>
      </c>
      <c r="AO10" t="str">
        <f t="shared" si="8"/>
        <v xml:space="preserve">Cust009-sanjay JOSHI  </v>
      </c>
      <c r="AP10" t="str">
        <f t="shared" si="22"/>
        <v>sanjay JOSHI</v>
      </c>
      <c r="AQ10" t="str">
        <f t="shared" si="23"/>
        <v>Ahmedabad, gujarat</v>
      </c>
      <c r="AR10" t="str">
        <f t="shared" si="24"/>
        <v>PRD-CAM-009:logitech C920 WEBCAM</v>
      </c>
      <c r="AS10" t="str">
        <f t="shared" si="25"/>
        <v>SANJAY.JOSHI@COMPANY.CO.IN|(079) 2468-1357</v>
      </c>
      <c r="AT10" t="str">
        <f t="shared" si="26"/>
        <v xml:space="preserve">  video GEAR solutions  -IT HEAD</v>
      </c>
      <c r="AU10" t="str">
        <f t="shared" si="27"/>
        <v>Corporate 17-Mar-2024</v>
      </c>
      <c r="AV10" t="str">
        <f t="shared" si="28"/>
        <v>369 CG Road,Ahmedabad, gujarat,380009</v>
      </c>
      <c r="AW10" t="str">
        <f t="shared" si="29"/>
        <v>DEPT-IT-009_IT HEAD</v>
      </c>
      <c r="AX10" t="str">
        <f t="shared" si="30"/>
        <v>Customer ID:Cust009</v>
      </c>
      <c r="AY10" t="str">
        <f t="shared" si="31"/>
        <v>Email:SANJAY.JOSHI@COMPANY.CO.IN</v>
      </c>
      <c r="AZ10" t="str">
        <f t="shared" si="32"/>
        <v>https://www.videogear.com/contact</v>
      </c>
      <c r="BA10" t="str">
        <f t="shared" si="33"/>
        <v>Order Placed On 17-Mar-2024</v>
      </c>
      <c r="BB10" t="str">
        <f t="shared" si="34"/>
        <v>sanjay JOSHI  (Corporate)</v>
      </c>
      <c r="BC10" t="str">
        <f t="shared" si="35"/>
        <v>PRD-CAM-009/logitech C920 WEBCAM</v>
      </c>
      <c r="BD10" t="str">
        <f t="shared" si="36"/>
        <v>call (079) 2468-1357</v>
      </c>
      <c r="BE10" t="str">
        <f t="shared" si="37"/>
        <v xml:space="preserve">  video GEAR solutions  -DEPT-IT-009</v>
      </c>
      <c r="BF10" t="str">
        <f t="shared" si="38"/>
        <v>Cust009-9</v>
      </c>
      <c r="BG10" t="str">
        <f t="shared" si="39"/>
        <v>Customer: sanjay JOSHI  ,Type: Corporate</v>
      </c>
      <c r="BH10" t="str">
        <f t="shared" si="40"/>
        <v>Ahmedabad,india</v>
      </c>
      <c r="BI10" t="str">
        <f t="shared" si="41"/>
        <v>Cust</v>
      </c>
      <c r="BJ10" t="str">
        <f t="shared" si="42"/>
        <v>SANJAY.JOS</v>
      </c>
      <c r="BK10" t="str">
        <f t="shared" si="43"/>
        <v xml:space="preserve">sanjay </v>
      </c>
      <c r="BL10" t="str">
        <f t="shared" si="44"/>
        <v>PRD-C</v>
      </c>
      <c r="BM10" t="str">
        <f t="shared" si="45"/>
        <v>Cor</v>
      </c>
      <c r="BN10" t="str">
        <f t="shared" si="46"/>
        <v>(079) 24</v>
      </c>
      <c r="BO10" t="str">
        <f t="shared" si="47"/>
        <v>COMPANY.CO.IN</v>
      </c>
      <c r="BP10" t="str">
        <f t="shared" si="48"/>
        <v>Ahmedabad</v>
      </c>
      <c r="BQ10" t="str">
        <f t="shared" si="49"/>
        <v>t009</v>
      </c>
      <c r="BR10" t="str">
        <f t="shared" si="50"/>
        <v xml:space="preserve"> JOSHI</v>
      </c>
      <c r="BS10" t="str">
        <f t="shared" si="51"/>
        <v>AM-009</v>
      </c>
      <c r="BU10" t="str">
        <f t="shared" si="52"/>
        <v>-1357</v>
      </c>
      <c r="BV10" t="str">
        <f t="shared" si="53"/>
        <v>380009</v>
      </c>
      <c r="BW10" t="str">
        <f t="shared" si="54"/>
        <v xml:space="preserve"> gujarat</v>
      </c>
      <c r="BX10" t="str">
        <f t="shared" si="55"/>
        <v>009</v>
      </c>
      <c r="BY10" t="str">
        <f t="shared" si="56"/>
        <v>IT</v>
      </c>
      <c r="BZ10" t="str">
        <f t="shared" si="57"/>
        <v>CAM</v>
      </c>
      <c r="CA10" t="str">
        <f t="shared" si="58"/>
        <v>Mar</v>
      </c>
      <c r="CB10" t="str">
        <f t="shared" si="59"/>
        <v>video</v>
      </c>
      <c r="CC10">
        <f t="shared" si="60"/>
        <v>13</v>
      </c>
      <c r="CD10">
        <f t="shared" si="61"/>
        <v>14</v>
      </c>
      <c r="CE10">
        <f t="shared" si="62"/>
        <v>26</v>
      </c>
      <c r="CF10">
        <f t="shared" si="63"/>
        <v>7</v>
      </c>
      <c r="CG10">
        <f t="shared" si="64"/>
        <v>20</v>
      </c>
      <c r="CH10">
        <f t="shared" si="65"/>
        <v>10</v>
      </c>
      <c r="CI10">
        <f t="shared" si="66"/>
        <v>7</v>
      </c>
      <c r="CJ10">
        <f t="shared" si="67"/>
        <v>9</v>
      </c>
      <c r="CK10">
        <f t="shared" si="68"/>
        <v>15</v>
      </c>
      <c r="CL10">
        <f t="shared" si="69"/>
        <v>4</v>
      </c>
      <c r="CM10">
        <f t="shared" si="70"/>
        <v>11</v>
      </c>
      <c r="CN10">
        <f t="shared" si="71"/>
        <v>7</v>
      </c>
      <c r="CO10">
        <f t="shared" si="72"/>
        <v>20</v>
      </c>
      <c r="CP10">
        <f t="shared" si="73"/>
        <v>8</v>
      </c>
      <c r="CQ10">
        <f t="shared" si="74"/>
        <v>11</v>
      </c>
      <c r="CR10">
        <f t="shared" si="75"/>
        <v>7</v>
      </c>
      <c r="CS10">
        <f t="shared" si="76"/>
        <v>9</v>
      </c>
      <c r="CT10">
        <f t="shared" si="77"/>
        <v>8</v>
      </c>
      <c r="CU10">
        <f t="shared" si="78"/>
        <v>18</v>
      </c>
      <c r="CV10">
        <f t="shared" si="79"/>
        <v>3</v>
      </c>
      <c r="CW10" t="str">
        <f t="shared" si="80"/>
        <v>Customer ID009</v>
      </c>
      <c r="CX10" t="str">
        <f t="shared" si="81"/>
        <v>SANJAY.JOSHI[AT]COMPANY.CO.IN</v>
      </c>
      <c r="CY10" t="str">
        <f t="shared" si="82"/>
        <v>Product-CAM-009</v>
      </c>
      <c r="CZ10" t="str">
        <f t="shared" si="83"/>
        <v>PRD_CAM_009</v>
      </c>
      <c r="DA10" t="str">
        <f t="shared" si="84"/>
        <v>DEPARTMENT-IT-009</v>
      </c>
      <c r="DB10" t="str">
        <f t="shared" si="85"/>
        <v>SANJAY.JOSHI@COMPANY.CO.IN</v>
      </c>
      <c r="DC10" t="str">
        <f t="shared" si="86"/>
        <v>HTTPS://https://www..VIDEOGEAR.COM</v>
      </c>
      <c r="DD10" t="str">
        <f t="shared" si="87"/>
        <v>sanjay/JOSHI//</v>
      </c>
      <c r="DE10" t="str">
        <f t="shared" si="88"/>
        <v>Corporate</v>
      </c>
      <c r="DF10" t="str">
        <f t="shared" si="89"/>
        <v>Ahmedabad; gujarat;380009</v>
      </c>
      <c r="DG10" t="str">
        <f t="shared" si="90"/>
        <v>IT HEAD</v>
      </c>
      <c r="DH10" t="str">
        <f t="shared" si="91"/>
        <v xml:space="preserve"> 079  2468-1357</v>
      </c>
      <c r="DI10" t="str">
        <f t="shared" si="92"/>
        <v xml:space="preserve">  video GEAR solutions  </v>
      </c>
      <c r="DJ10" t="str">
        <f t="shared" si="93"/>
        <v>https:://www.videogear.com</v>
      </c>
      <c r="DK10" t="str">
        <f t="shared" si="94"/>
        <v>369  CG  Road</v>
      </c>
      <c r="DL10" t="str">
        <f t="shared" si="95"/>
        <v>SANJAY.JOSHI</v>
      </c>
      <c r="DM10" t="str">
        <f t="shared" si="96"/>
        <v>sanjay.JOSHI@  video GEAR solutions  .com</v>
      </c>
      <c r="DN10" t="str">
        <f t="shared" si="97"/>
        <v>sanjay</v>
      </c>
      <c r="DO10" t="str">
        <f t="shared" si="98"/>
        <v>JOSHI</v>
      </c>
      <c r="DP10" t="str">
        <f t="shared" si="99"/>
        <v>JOSHI,sanjay</v>
      </c>
      <c r="DQ10" t="str">
        <f t="shared" si="100"/>
        <v>Name has12characters</v>
      </c>
      <c r="DR10" t="str">
        <f t="shared" si="101"/>
        <v>Check Domain</v>
      </c>
      <c r="DS10" t="str">
        <f t="shared" si="102"/>
        <v>(079</v>
      </c>
      <c r="DT10" t="str">
        <f t="shared" si="103"/>
        <v>Cus009</v>
      </c>
      <c r="DU10" t="str">
        <f t="shared" si="104"/>
        <v>sjoshi</v>
      </c>
      <c r="DV10" t="str">
        <f t="shared" si="105"/>
        <v>PRD009</v>
      </c>
      <c r="DW10" t="str">
        <f t="shared" si="106"/>
        <v>(079) 2468-1357</v>
      </c>
      <c r="DX10" t="str">
        <f t="shared" si="107"/>
        <v>2024</v>
      </c>
      <c r="DY10" t="str">
        <f t="shared" si="108"/>
        <v>s</v>
      </c>
      <c r="DZ10" t="str">
        <f t="shared" si="109"/>
        <v>sanjayJOSHI@  video GEAR solutions  .com</v>
      </c>
      <c r="EA10" t="str">
        <f t="shared" si="110"/>
        <v/>
      </c>
      <c r="EB10" t="str">
        <f t="shared" si="111"/>
        <v>COMPANY.CO.IN</v>
      </c>
      <c r="EC10">
        <f t="shared" si="112"/>
        <v>20</v>
      </c>
      <c r="ED10" t="str">
        <f t="shared" si="113"/>
        <v>Ah09</v>
      </c>
      <c r="EE10" t="str">
        <f t="shared" si="114"/>
        <v>Ahmedabad- gujarat(380009)</v>
      </c>
      <c r="EF10" t="str">
        <f t="shared" si="115"/>
        <v>07924681357</v>
      </c>
      <c r="EG10" t="str">
        <f t="shared" si="116"/>
        <v>CUST-009</v>
      </c>
      <c r="EH10" t="str">
        <f t="shared" si="117"/>
        <v>public</v>
      </c>
      <c r="EI10" t="str">
        <f t="shared" si="118"/>
        <v>PRD-009-17Mar24</v>
      </c>
      <c r="EJ10" t="str">
        <f t="shared" si="119"/>
        <v>Corporate</v>
      </c>
    </row>
    <row r="11" spans="1:140" x14ac:dyDescent="0.3">
      <c r="A11" t="s">
        <v>138</v>
      </c>
      <c r="B11" t="s">
        <v>1437</v>
      </c>
      <c r="C11" t="s">
        <v>1438</v>
      </c>
      <c r="D11" t="s">
        <v>139</v>
      </c>
      <c r="E11" t="s">
        <v>140</v>
      </c>
      <c r="F11" t="s">
        <v>141</v>
      </c>
      <c r="G11" t="s">
        <v>142</v>
      </c>
      <c r="H11" t="s">
        <v>1593</v>
      </c>
      <c r="I11" t="s">
        <v>1594</v>
      </c>
      <c r="J11">
        <v>395001</v>
      </c>
      <c r="K11" t="str">
        <f t="shared" si="9"/>
        <v>surat, Gujarat,395001</v>
      </c>
      <c r="L11" t="s">
        <v>143</v>
      </c>
      <c r="M11" t="s">
        <v>144</v>
      </c>
      <c r="N11" t="s">
        <v>145</v>
      </c>
      <c r="O11" t="s">
        <v>36</v>
      </c>
      <c r="P11" t="s">
        <v>146</v>
      </c>
      <c r="Q11" t="s">
        <v>147</v>
      </c>
      <c r="R11" t="s">
        <v>148</v>
      </c>
      <c r="S11" t="s">
        <v>149</v>
      </c>
      <c r="T11" t="s">
        <v>150</v>
      </c>
      <c r="U11" t="str">
        <f t="shared" si="0"/>
        <v xml:space="preserve">  KAVITA DESAI</v>
      </c>
      <c r="V11" t="str">
        <f t="shared" si="1"/>
        <v>kavita.desai123@mail.in</v>
      </c>
      <c r="W11" t="str">
        <f t="shared" si="10"/>
        <v>Surat</v>
      </c>
      <c r="X11" t="str">
        <f t="shared" si="2"/>
        <v>kavita DESAI</v>
      </c>
      <c r="Y11" t="str">
        <f t="shared" si="11"/>
        <v>WHOLESALE</v>
      </c>
      <c r="Z11" t="str">
        <f t="shared" si="12"/>
        <v>storage solutions india</v>
      </c>
      <c r="AA11" t="str">
        <f t="shared" si="13"/>
        <v>Warehouse Manager</v>
      </c>
      <c r="AB11" t="str">
        <f t="shared" si="3"/>
        <v>741 Station Road</v>
      </c>
      <c r="AC11" t="str">
        <f t="shared" si="14"/>
        <v>DEPT-WH-010</v>
      </c>
      <c r="AD11" t="str">
        <f t="shared" si="15"/>
        <v>Seagate 2Tb External Hdd</v>
      </c>
      <c r="AE11" t="str">
        <f t="shared" si="16"/>
        <v>www.storage.com</v>
      </c>
      <c r="AF11" t="str">
        <f t="shared" si="17"/>
        <v>Volume discount expected</v>
      </c>
      <c r="AG11" t="str">
        <f t="shared" si="4"/>
        <v>CUST010</v>
      </c>
      <c r="AH11" t="str">
        <f t="shared" si="18"/>
        <v>PRD-HDD-010</v>
      </c>
      <c r="AI11" t="str">
        <f t="shared" si="5"/>
        <v xml:space="preserve">  Kavita Desai</v>
      </c>
      <c r="AJ11" t="str">
        <f t="shared" si="6"/>
        <v>9988774455</v>
      </c>
      <c r="AK11" t="str">
        <f t="shared" si="19"/>
        <v>wholesale</v>
      </c>
      <c r="AL11" t="str">
        <f t="shared" si="20"/>
        <v>Storage Solutions India</v>
      </c>
      <c r="AM11" t="str">
        <f t="shared" si="7"/>
        <v>kavita.desai123@mail.in</v>
      </c>
      <c r="AN11" t="str">
        <f t="shared" si="21"/>
        <v>WAREHOUSE MANAGER</v>
      </c>
      <c r="AO11" t="str">
        <f t="shared" si="8"/>
        <v>CUST010-  kavita DESAI</v>
      </c>
      <c r="AP11" t="str">
        <f t="shared" si="22"/>
        <v>kavita DESAI</v>
      </c>
      <c r="AQ11" t="str">
        <f t="shared" si="23"/>
        <v>surat, Gujarat</v>
      </c>
      <c r="AR11" t="str">
        <f t="shared" si="24"/>
        <v>prd-hdd-010:SEAGATE 2TB external HDD</v>
      </c>
      <c r="AS11" t="str">
        <f t="shared" si="25"/>
        <v>kavita.desai123@mail.in|9988774455</v>
      </c>
      <c r="AT11" t="str">
        <f t="shared" si="26"/>
        <v>storage SOLUTIONS india-warehouse manager</v>
      </c>
      <c r="AU11" t="str">
        <f t="shared" si="27"/>
        <v>wholesale 24-Mar-2024</v>
      </c>
      <c r="AV11" t="str">
        <f t="shared" si="28"/>
        <v xml:space="preserve">  741 Station Road  ,surat, Gujarat,395001</v>
      </c>
      <c r="AW11" t="str">
        <f t="shared" si="29"/>
        <v>dept-wh-010_warehouse manager</v>
      </c>
      <c r="AX11" t="str">
        <f t="shared" si="30"/>
        <v>Customer ID:CUST010</v>
      </c>
      <c r="AY11" t="str">
        <f t="shared" si="31"/>
        <v>Email:kavita.desai123@mail.in</v>
      </c>
      <c r="AZ11" t="str">
        <f t="shared" si="32"/>
        <v>WWW.STORAGE.COM/contact</v>
      </c>
      <c r="BA11" t="str">
        <f t="shared" si="33"/>
        <v>Order Placed On 24-Mar-2024</v>
      </c>
      <c r="BB11" t="str">
        <f t="shared" si="34"/>
        <v xml:space="preserve">  kavita DESAI(wholesale)</v>
      </c>
      <c r="BC11" t="str">
        <f t="shared" si="35"/>
        <v>prd-hdd-010/SEAGATE 2TB external HDD</v>
      </c>
      <c r="BD11" t="str">
        <f t="shared" si="36"/>
        <v>call 9988774455</v>
      </c>
      <c r="BE11" t="str">
        <f t="shared" si="37"/>
        <v>storage SOLUTIONS india-dept-wh-010</v>
      </c>
      <c r="BF11" t="str">
        <f t="shared" si="38"/>
        <v>CUST010-10</v>
      </c>
      <c r="BG11" t="str">
        <f t="shared" si="39"/>
        <v>Customer:   kavita DESAI,Type: wholesale</v>
      </c>
      <c r="BH11" t="str">
        <f t="shared" si="40"/>
        <v>surat,india</v>
      </c>
      <c r="BI11" t="str">
        <f t="shared" si="41"/>
        <v>CUST</v>
      </c>
      <c r="BJ11" t="str">
        <f t="shared" si="42"/>
        <v>kavita.des</v>
      </c>
      <c r="BK11" t="str">
        <f t="shared" si="43"/>
        <v xml:space="preserve">kavita </v>
      </c>
      <c r="BL11" t="str">
        <f t="shared" si="44"/>
        <v>prd-h</v>
      </c>
      <c r="BM11" t="str">
        <f t="shared" si="45"/>
        <v>who</v>
      </c>
      <c r="BN11" t="str">
        <f t="shared" si="46"/>
        <v>99887744</v>
      </c>
      <c r="BO11" t="str">
        <f t="shared" si="47"/>
        <v>mail.in</v>
      </c>
      <c r="BP11" t="str">
        <f t="shared" si="48"/>
        <v>surat</v>
      </c>
      <c r="BQ11" t="str">
        <f t="shared" si="49"/>
        <v>T010</v>
      </c>
      <c r="BR11" t="str">
        <f t="shared" si="50"/>
        <v xml:space="preserve"> DESAI</v>
      </c>
      <c r="BS11" t="str">
        <f t="shared" si="51"/>
        <v>dd-010</v>
      </c>
      <c r="BU11" t="str">
        <f t="shared" si="52"/>
        <v>74455</v>
      </c>
      <c r="BV11" t="str">
        <f t="shared" si="53"/>
        <v>395001</v>
      </c>
      <c r="BW11" t="str">
        <f t="shared" si="54"/>
        <v xml:space="preserve"> Gujarat</v>
      </c>
      <c r="BX11" t="str">
        <f t="shared" si="55"/>
        <v>010</v>
      </c>
      <c r="BY11" t="str">
        <f t="shared" si="56"/>
        <v>wh</v>
      </c>
      <c r="BZ11" t="str">
        <f t="shared" si="57"/>
        <v>hdd</v>
      </c>
      <c r="CA11" t="str">
        <f t="shared" si="58"/>
        <v>Mar</v>
      </c>
      <c r="CB11" t="str">
        <f t="shared" si="59"/>
        <v>orage</v>
      </c>
      <c r="CC11">
        <f t="shared" si="60"/>
        <v>16</v>
      </c>
      <c r="CD11">
        <f t="shared" si="61"/>
        <v>14</v>
      </c>
      <c r="CE11">
        <f t="shared" si="62"/>
        <v>23</v>
      </c>
      <c r="CF11">
        <f t="shared" si="63"/>
        <v>1</v>
      </c>
      <c r="CG11">
        <f t="shared" si="64"/>
        <v>24</v>
      </c>
      <c r="CH11">
        <f t="shared" si="65"/>
        <v>6</v>
      </c>
      <c r="CI11">
        <f t="shared" si="66"/>
        <v>7</v>
      </c>
      <c r="CJ11" t="str">
        <f t="shared" si="67"/>
        <v>Not found</v>
      </c>
      <c r="CK11">
        <f t="shared" si="68"/>
        <v>10</v>
      </c>
      <c r="CL11">
        <f t="shared" si="69"/>
        <v>4</v>
      </c>
      <c r="CM11">
        <f t="shared" si="70"/>
        <v>20</v>
      </c>
      <c r="CN11">
        <f t="shared" si="71"/>
        <v>7</v>
      </c>
      <c r="CO11">
        <f t="shared" si="72"/>
        <v>23</v>
      </c>
      <c r="CP11">
        <f t="shared" si="73"/>
        <v>8</v>
      </c>
      <c r="CQ11">
        <f t="shared" si="74"/>
        <v>11</v>
      </c>
      <c r="CR11" t="str">
        <f t="shared" si="75"/>
        <v>not found</v>
      </c>
      <c r="CS11">
        <f t="shared" si="76"/>
        <v>9</v>
      </c>
      <c r="CT11">
        <f t="shared" si="77"/>
        <v>8</v>
      </c>
      <c r="CU11">
        <f t="shared" si="78"/>
        <v>28</v>
      </c>
      <c r="CV11">
        <f t="shared" si="79"/>
        <v>3</v>
      </c>
      <c r="CW11" t="str">
        <f t="shared" si="80"/>
        <v>Customer ID010</v>
      </c>
      <c r="CX11" t="str">
        <f t="shared" si="81"/>
        <v>kavita.desai123[AT]mail.in</v>
      </c>
      <c r="CY11" t="str">
        <f t="shared" si="82"/>
        <v>Product-HDD-010</v>
      </c>
      <c r="CZ11" t="str">
        <f t="shared" si="83"/>
        <v>prd_hdd_010</v>
      </c>
      <c r="DA11" t="str">
        <f t="shared" si="84"/>
        <v>DEPARTMENT-WH-010</v>
      </c>
      <c r="DB11" t="str">
        <f t="shared" si="85"/>
        <v>KAVITA.DESAI123@MAIL.IN</v>
      </c>
      <c r="DC11" t="str">
        <f t="shared" si="86"/>
        <v>https://www..STORAGE.COM</v>
      </c>
      <c r="DD11" t="str">
        <f t="shared" si="87"/>
        <v>//kavita/DESAI</v>
      </c>
      <c r="DE11" t="str">
        <f t="shared" si="88"/>
        <v>wholesale</v>
      </c>
      <c r="DF11" t="str">
        <f t="shared" si="89"/>
        <v>surat; Gujarat;395001</v>
      </c>
      <c r="DG11" t="str">
        <f t="shared" si="90"/>
        <v>warehouse MANAGER</v>
      </c>
      <c r="DH11" t="str">
        <f t="shared" si="91"/>
        <v>9988774455</v>
      </c>
      <c r="DI11" t="str">
        <f t="shared" si="92"/>
        <v>storage SOLUTIONS india</v>
      </c>
      <c r="DJ11" t="str">
        <f t="shared" si="93"/>
        <v>WWW.STORAGE.COM</v>
      </c>
      <c r="DK11" t="str">
        <f t="shared" si="94"/>
        <v xml:space="preserve">    741  Station  Road    </v>
      </c>
      <c r="DL11" t="str">
        <f t="shared" si="95"/>
        <v>kavita.desai123</v>
      </c>
      <c r="DM11" t="str">
        <f t="shared" si="96"/>
        <v>kavita.DESAI@storage SOLUTIONS india.com</v>
      </c>
      <c r="DN11" t="str">
        <f t="shared" si="97"/>
        <v>kavita</v>
      </c>
      <c r="DO11" t="str">
        <f t="shared" si="98"/>
        <v>DESAI</v>
      </c>
      <c r="DP11" t="str">
        <f t="shared" si="99"/>
        <v>DESAI,kavita</v>
      </c>
      <c r="DQ11" t="str">
        <f t="shared" si="100"/>
        <v>Name has12characters</v>
      </c>
      <c r="DR11" t="str">
        <f t="shared" si="101"/>
        <v>Check Domain</v>
      </c>
      <c r="DS11" t="str">
        <f t="shared" si="102"/>
        <v>9988</v>
      </c>
      <c r="DT11" t="str">
        <f t="shared" si="103"/>
        <v>CUS010</v>
      </c>
      <c r="DU11" t="str">
        <f t="shared" si="104"/>
        <v>kdesai</v>
      </c>
      <c r="DV11" t="str">
        <f t="shared" si="105"/>
        <v>prd010</v>
      </c>
      <c r="DW11" t="str">
        <f t="shared" si="106"/>
        <v>(998)  877-4455</v>
      </c>
      <c r="DX11" t="str">
        <f t="shared" si="107"/>
        <v>2024</v>
      </c>
      <c r="DY11" t="str">
        <f t="shared" si="108"/>
        <v>k</v>
      </c>
      <c r="DZ11" t="str">
        <f t="shared" si="109"/>
        <v>kavitaDESAI@storage SOLUTIONS india.com</v>
      </c>
      <c r="EA11" t="str">
        <f t="shared" si="110"/>
        <v>Wholesale</v>
      </c>
      <c r="EB11" t="str">
        <f t="shared" si="111"/>
        <v>mail.in</v>
      </c>
      <c r="EC11">
        <f t="shared" si="112"/>
        <v>24</v>
      </c>
      <c r="ED11" t="str">
        <f t="shared" si="113"/>
        <v>su10</v>
      </c>
      <c r="EE11" t="str">
        <f t="shared" si="114"/>
        <v>surat- Gujarat(395001)</v>
      </c>
      <c r="EF11" t="str">
        <f t="shared" si="115"/>
        <v>9988774455</v>
      </c>
      <c r="EG11" t="str">
        <f t="shared" si="116"/>
        <v>CUST-010</v>
      </c>
      <c r="EH11" t="str">
        <f t="shared" si="117"/>
        <v>public</v>
      </c>
      <c r="EI11" t="str">
        <f t="shared" si="118"/>
        <v>PRD-010-24Mar24</v>
      </c>
      <c r="EJ11" t="str">
        <f t="shared" si="119"/>
        <v>Wholesale</v>
      </c>
    </row>
    <row r="12" spans="1:140" x14ac:dyDescent="0.3">
      <c r="A12" t="s">
        <v>151</v>
      </c>
      <c r="B12" t="s">
        <v>1439</v>
      </c>
      <c r="C12" t="s">
        <v>1440</v>
      </c>
      <c r="D12" t="s">
        <v>152</v>
      </c>
      <c r="E12" t="s">
        <v>153</v>
      </c>
      <c r="F12" t="s">
        <v>154</v>
      </c>
      <c r="G12" t="s">
        <v>155</v>
      </c>
      <c r="H12" t="s">
        <v>1595</v>
      </c>
      <c r="I12" t="s">
        <v>1596</v>
      </c>
      <c r="J12">
        <v>560001</v>
      </c>
      <c r="K12" t="str">
        <f t="shared" si="9"/>
        <v>BANGALORE, karnataka,560001</v>
      </c>
      <c r="L12" t="s">
        <v>156</v>
      </c>
      <c r="M12" t="s">
        <v>157</v>
      </c>
      <c r="N12" t="s">
        <v>158</v>
      </c>
      <c r="O12" t="s">
        <v>50</v>
      </c>
      <c r="P12" t="s">
        <v>159</v>
      </c>
      <c r="Q12" t="s">
        <v>160</v>
      </c>
      <c r="R12" t="s">
        <v>161</v>
      </c>
      <c r="S12" t="s">
        <v>162</v>
      </c>
      <c r="T12" t="s">
        <v>163</v>
      </c>
      <c r="U12" t="str">
        <f t="shared" si="0"/>
        <v>ARJUN NAIR</v>
      </c>
      <c r="V12" t="str">
        <f t="shared" si="1"/>
        <v>arjun_nair@email.com</v>
      </c>
      <c r="W12" t="str">
        <f t="shared" si="10"/>
        <v>Bangalore</v>
      </c>
      <c r="X12" t="str">
        <f t="shared" si="2"/>
        <v>ARJUN nair</v>
      </c>
      <c r="Y12" t="str">
        <f t="shared" si="11"/>
        <v>RETAIL</v>
      </c>
      <c r="Z12" t="str">
        <f t="shared" si="12"/>
        <v>storage world</v>
      </c>
      <c r="AA12" t="str">
        <f t="shared" si="13"/>
        <v>Tech Lead</v>
      </c>
      <c r="AB12" t="str">
        <f t="shared" si="3"/>
        <v>852 MG Road</v>
      </c>
      <c r="AC12" t="str">
        <f t="shared" si="14"/>
        <v>DEPT-TECH-011</v>
      </c>
      <c r="AD12" t="str">
        <f t="shared" si="15"/>
        <v>Samsung 1Tb Ssd</v>
      </c>
      <c r="AE12" t="str">
        <f t="shared" si="16"/>
        <v>www.storageworld.in</v>
      </c>
      <c r="AF12" t="str">
        <f t="shared" si="17"/>
        <v>Express delivery</v>
      </c>
      <c r="AG12" t="str">
        <f t="shared" si="4"/>
        <v>CUST011</v>
      </c>
      <c r="AH12" t="str">
        <f t="shared" si="18"/>
        <v>PRD-SSD-011</v>
      </c>
      <c r="AI12" t="str">
        <f t="shared" si="5"/>
        <v>Arjun Nair</v>
      </c>
      <c r="AJ12" t="str">
        <f t="shared" si="6"/>
        <v>+91-9845012345</v>
      </c>
      <c r="AK12" t="str">
        <f t="shared" si="19"/>
        <v>retail</v>
      </c>
      <c r="AL12" t="str">
        <f t="shared" si="20"/>
        <v>Storage World</v>
      </c>
      <c r="AM12" t="str">
        <f t="shared" si="7"/>
        <v>arjun_nair@email.com</v>
      </c>
      <c r="AN12" t="str">
        <f t="shared" si="21"/>
        <v>TECH LEAD</v>
      </c>
      <c r="AO12" t="str">
        <f t="shared" si="8"/>
        <v>cust011-ARJUN nair</v>
      </c>
      <c r="AP12" t="str">
        <f t="shared" si="22"/>
        <v>ARJUN nair</v>
      </c>
      <c r="AQ12" t="str">
        <f t="shared" si="23"/>
        <v>BANGALORE, karnataka</v>
      </c>
      <c r="AR12" t="str">
        <f t="shared" si="24"/>
        <v>PRD-SSD-011:samsung 1TB SSD</v>
      </c>
      <c r="AS12" t="str">
        <f t="shared" si="25"/>
        <v>arjun_nair@email.com|+91-9845012345</v>
      </c>
      <c r="AT12" t="str">
        <f t="shared" si="26"/>
        <v>STORAGE world-tech lead</v>
      </c>
      <c r="AU12" t="str">
        <f t="shared" si="27"/>
        <v>Retail 31-Mar-2024</v>
      </c>
      <c r="AV12" t="str">
        <f t="shared" si="28"/>
        <v>852 MG Road,BANGALORE, karnataka,560001</v>
      </c>
      <c r="AW12" t="str">
        <f t="shared" si="29"/>
        <v>DEPT-TECH-011_tech lead</v>
      </c>
      <c r="AX12" t="str">
        <f t="shared" si="30"/>
        <v>Customer ID:cust011</v>
      </c>
      <c r="AY12" t="str">
        <f t="shared" si="31"/>
        <v>Email:arjun_nair@email.com</v>
      </c>
      <c r="AZ12" t="str">
        <f t="shared" si="32"/>
        <v>www.storageworld.in/contact</v>
      </c>
      <c r="BA12" t="str">
        <f t="shared" si="33"/>
        <v>Order Placed On 31-Mar-2024</v>
      </c>
      <c r="BB12" t="str">
        <f t="shared" si="34"/>
        <v>ARJUN nair(Retail)</v>
      </c>
      <c r="BC12" t="str">
        <f t="shared" si="35"/>
        <v>PRD-SSD-011/samsung 1TB SSD</v>
      </c>
      <c r="BD12" t="str">
        <f t="shared" si="36"/>
        <v>call +91-9845012345</v>
      </c>
      <c r="BE12" t="str">
        <f t="shared" si="37"/>
        <v>STORAGE world-DEPT-TECH-011</v>
      </c>
      <c r="BF12" t="str">
        <f t="shared" si="38"/>
        <v>cust011-11</v>
      </c>
      <c r="BG12" t="str">
        <f t="shared" si="39"/>
        <v>Customer: ARJUN nair,Type: Retail</v>
      </c>
      <c r="BH12" t="str">
        <f t="shared" si="40"/>
        <v>BANGALORE,india</v>
      </c>
      <c r="BI12" t="str">
        <f t="shared" si="41"/>
        <v>cust</v>
      </c>
      <c r="BJ12" t="str">
        <f t="shared" si="42"/>
        <v>arjun_nair</v>
      </c>
      <c r="BK12" t="str">
        <f t="shared" si="43"/>
        <v xml:space="preserve">ARJUN </v>
      </c>
      <c r="BL12" t="str">
        <f t="shared" si="44"/>
        <v>PRD-S</v>
      </c>
      <c r="BM12" t="str">
        <f t="shared" si="45"/>
        <v>Ret</v>
      </c>
      <c r="BN12" t="str">
        <f t="shared" si="46"/>
        <v>+91-9845</v>
      </c>
      <c r="BO12" t="str">
        <f t="shared" si="47"/>
        <v>email.com</v>
      </c>
      <c r="BP12" t="str">
        <f t="shared" si="48"/>
        <v>BANGALORE</v>
      </c>
      <c r="BQ12" t="str">
        <f t="shared" si="49"/>
        <v>t011</v>
      </c>
      <c r="BR12" t="str">
        <f t="shared" si="50"/>
        <v xml:space="preserve"> nair</v>
      </c>
      <c r="BS12" t="str">
        <f t="shared" si="51"/>
        <v>SD-011</v>
      </c>
      <c r="BU12" t="str">
        <f t="shared" si="52"/>
        <v>12345</v>
      </c>
      <c r="BV12" t="str">
        <f t="shared" si="53"/>
        <v>560001</v>
      </c>
      <c r="BW12" t="str">
        <f t="shared" si="54"/>
        <v xml:space="preserve"> karnataka</v>
      </c>
      <c r="BX12" t="str">
        <f t="shared" si="55"/>
        <v>011</v>
      </c>
      <c r="BY12" t="str">
        <f t="shared" si="56"/>
        <v>TECH</v>
      </c>
      <c r="BZ12" t="str">
        <f t="shared" si="57"/>
        <v>SSD</v>
      </c>
      <c r="CA12" t="str">
        <f t="shared" si="58"/>
        <v>Mar</v>
      </c>
      <c r="CB12" t="str">
        <f t="shared" si="59"/>
        <v>ORAGE</v>
      </c>
      <c r="CC12">
        <f t="shared" si="60"/>
        <v>11</v>
      </c>
      <c r="CD12">
        <f t="shared" si="61"/>
        <v>10</v>
      </c>
      <c r="CE12">
        <f t="shared" si="62"/>
        <v>20</v>
      </c>
      <c r="CF12">
        <f t="shared" si="63"/>
        <v>6</v>
      </c>
      <c r="CG12">
        <f t="shared" si="64"/>
        <v>15</v>
      </c>
      <c r="CH12">
        <f t="shared" si="65"/>
        <v>10</v>
      </c>
      <c r="CI12">
        <f t="shared" si="66"/>
        <v>7</v>
      </c>
      <c r="CJ12">
        <f t="shared" si="67"/>
        <v>1</v>
      </c>
      <c r="CK12">
        <f t="shared" si="68"/>
        <v>14</v>
      </c>
      <c r="CL12">
        <f t="shared" si="69"/>
        <v>4</v>
      </c>
      <c r="CM12">
        <f t="shared" si="70"/>
        <v>11</v>
      </c>
      <c r="CN12">
        <f t="shared" si="71"/>
        <v>17</v>
      </c>
      <c r="CO12">
        <f t="shared" si="72"/>
        <v>13</v>
      </c>
      <c r="CP12">
        <f t="shared" si="73"/>
        <v>8</v>
      </c>
      <c r="CQ12">
        <f t="shared" si="74"/>
        <v>13</v>
      </c>
      <c r="CR12" t="str">
        <f t="shared" si="75"/>
        <v>not found</v>
      </c>
      <c r="CS12">
        <f t="shared" si="76"/>
        <v>6</v>
      </c>
      <c r="CT12">
        <f t="shared" si="77"/>
        <v>8</v>
      </c>
      <c r="CU12">
        <f t="shared" si="78"/>
        <v>16</v>
      </c>
      <c r="CV12">
        <f t="shared" si="79"/>
        <v>3</v>
      </c>
      <c r="CW12" t="str">
        <f t="shared" si="80"/>
        <v>Customer ID011</v>
      </c>
      <c r="CX12" t="str">
        <f t="shared" si="81"/>
        <v>arjun_nair[AT]email.com</v>
      </c>
      <c r="CY12" t="str">
        <f t="shared" si="82"/>
        <v>Product-SSD-011</v>
      </c>
      <c r="CZ12" t="str">
        <f t="shared" si="83"/>
        <v>PRD_SSD_011</v>
      </c>
      <c r="DA12" t="str">
        <f t="shared" si="84"/>
        <v>DEPARTMENT-TECH-011</v>
      </c>
      <c r="DB12" t="str">
        <f t="shared" si="85"/>
        <v>ARJUN_NAIR@EMAIL.in</v>
      </c>
      <c r="DC12" t="str">
        <f t="shared" si="86"/>
        <v>https://www..STORAGEWORLD.IN</v>
      </c>
      <c r="DD12" t="str">
        <f t="shared" si="87"/>
        <v>ARJUN/nair</v>
      </c>
      <c r="DE12" t="str">
        <f t="shared" si="88"/>
        <v>Retail</v>
      </c>
      <c r="DF12" t="str">
        <f t="shared" si="89"/>
        <v>BANGALORE; karnataka;560001</v>
      </c>
      <c r="DG12" t="str">
        <f t="shared" si="90"/>
        <v>tech lead</v>
      </c>
      <c r="DH12" t="str">
        <f t="shared" si="91"/>
        <v>+91-9845012345</v>
      </c>
      <c r="DI12" t="str">
        <f t="shared" si="92"/>
        <v>STORAGE world</v>
      </c>
      <c r="DJ12" t="str">
        <f t="shared" si="93"/>
        <v>www.storageworld.in</v>
      </c>
      <c r="DK12" t="str">
        <f t="shared" si="94"/>
        <v>852  MG  Road</v>
      </c>
      <c r="DL12" t="str">
        <f t="shared" si="95"/>
        <v>arjun_nair</v>
      </c>
      <c r="DM12" t="str">
        <f t="shared" si="96"/>
        <v>ARJUN.nair@STORAGE world.com</v>
      </c>
      <c r="DN12" t="str">
        <f t="shared" si="97"/>
        <v>ARJUN</v>
      </c>
      <c r="DO12" t="str">
        <f t="shared" si="98"/>
        <v>nair</v>
      </c>
      <c r="DP12" t="str">
        <f t="shared" si="99"/>
        <v>nair,ARJUN</v>
      </c>
      <c r="DQ12" t="str">
        <f t="shared" si="100"/>
        <v>Name has10characters</v>
      </c>
      <c r="DR12" t="str">
        <f t="shared" si="101"/>
        <v>Valid</v>
      </c>
      <c r="DS12" t="str">
        <f t="shared" si="102"/>
        <v>+91-</v>
      </c>
      <c r="DT12" t="str">
        <f t="shared" si="103"/>
        <v>cus011</v>
      </c>
      <c r="DU12" t="str">
        <f t="shared" si="104"/>
        <v>Anair</v>
      </c>
      <c r="DV12" t="str">
        <f t="shared" si="105"/>
        <v>PRD011</v>
      </c>
      <c r="DW12" t="str">
        <f t="shared" si="106"/>
        <v>+91-9845012345</v>
      </c>
      <c r="DX12" t="str">
        <f t="shared" si="107"/>
        <v>2024</v>
      </c>
      <c r="DY12" t="str">
        <f t="shared" si="108"/>
        <v>A</v>
      </c>
      <c r="DZ12" t="str">
        <f t="shared" si="109"/>
        <v>ARJUNnair@STORAGE world.com</v>
      </c>
      <c r="EA12" t="str">
        <f t="shared" si="110"/>
        <v>Retail</v>
      </c>
      <c r="EB12" t="str">
        <f t="shared" si="111"/>
        <v>email.com</v>
      </c>
      <c r="EC12">
        <f t="shared" si="112"/>
        <v>15</v>
      </c>
      <c r="ED12" t="str">
        <f t="shared" si="113"/>
        <v>BA11</v>
      </c>
      <c r="EE12" t="str">
        <f t="shared" si="114"/>
        <v>BANGALORE- karnataka(560001)</v>
      </c>
      <c r="EF12" t="str">
        <f t="shared" si="115"/>
        <v>919845012345</v>
      </c>
      <c r="EG12" t="str">
        <f t="shared" si="116"/>
        <v>CUST-011</v>
      </c>
      <c r="EH12" t="str">
        <f t="shared" si="117"/>
        <v>public</v>
      </c>
      <c r="EI12" t="str">
        <f t="shared" si="118"/>
        <v>PRD-011-31Mar24</v>
      </c>
      <c r="EJ12" t="str">
        <f t="shared" si="119"/>
        <v>Retail</v>
      </c>
    </row>
    <row r="13" spans="1:140" x14ac:dyDescent="0.3">
      <c r="A13" t="s">
        <v>164</v>
      </c>
      <c r="B13" t="s">
        <v>1441</v>
      </c>
      <c r="C13" t="s">
        <v>1442</v>
      </c>
      <c r="D13" t="s">
        <v>165</v>
      </c>
      <c r="E13" t="s">
        <v>166</v>
      </c>
      <c r="F13" t="s">
        <v>167</v>
      </c>
      <c r="G13" t="s">
        <v>168</v>
      </c>
      <c r="H13" t="s">
        <v>1576</v>
      </c>
      <c r="I13" t="s">
        <v>1597</v>
      </c>
      <c r="J13">
        <v>400018</v>
      </c>
      <c r="K13" t="str">
        <f t="shared" si="9"/>
        <v>Mumbai, MAHARASHTRA,400018</v>
      </c>
      <c r="L13" t="s">
        <v>169</v>
      </c>
      <c r="M13" t="s">
        <v>170</v>
      </c>
      <c r="N13" t="s">
        <v>171</v>
      </c>
      <c r="O13" t="s">
        <v>64</v>
      </c>
      <c r="P13" t="s">
        <v>172</v>
      </c>
      <c r="Q13" t="s">
        <v>173</v>
      </c>
      <c r="R13" t="s">
        <v>174</v>
      </c>
      <c r="S13" t="s">
        <v>175</v>
      </c>
      <c r="T13" t="s">
        <v>176</v>
      </c>
      <c r="U13" t="str">
        <f t="shared" si="0"/>
        <v xml:space="preserve">POOJA IYER  </v>
      </c>
      <c r="V13" t="str">
        <f t="shared" si="1"/>
        <v>pooja.iyer@corporate.in</v>
      </c>
      <c r="W13" t="str">
        <f t="shared" si="10"/>
        <v>Mumbai</v>
      </c>
      <c r="X13" t="str">
        <f t="shared" si="2"/>
        <v>pooja IYER</v>
      </c>
      <c r="Y13" t="str">
        <f t="shared" si="11"/>
        <v>CORPORATE</v>
      </c>
      <c r="Z13" t="str">
        <f t="shared" si="12"/>
        <v xml:space="preserve">  memory solutions  </v>
      </c>
      <c r="AA13" t="str">
        <f t="shared" si="13"/>
        <v>System Admin</v>
      </c>
      <c r="AB13" t="str">
        <f t="shared" si="3"/>
        <v>963 Worli</v>
      </c>
      <c r="AC13" t="str">
        <f t="shared" si="14"/>
        <v>DEPT-SYS-012</v>
      </c>
      <c r="AD13" t="str">
        <f t="shared" si="15"/>
        <v>Corsair 16Gb Ddr4 Ram</v>
      </c>
      <c r="AE13" t="str">
        <f t="shared" si="16"/>
        <v>https://memorysolutions.com</v>
      </c>
      <c r="AF13" t="str">
        <f t="shared" si="17"/>
        <v>Compatibility check needed</v>
      </c>
      <c r="AG13" t="str">
        <f t="shared" si="4"/>
        <v>CUST012</v>
      </c>
      <c r="AH13" t="str">
        <f t="shared" si="18"/>
        <v>PRD-RAM-012</v>
      </c>
      <c r="AI13" t="str">
        <f t="shared" si="5"/>
        <v xml:space="preserve">Pooja Iyer  </v>
      </c>
      <c r="AJ13" t="str">
        <f t="shared" si="6"/>
        <v>(022) 3579-2468</v>
      </c>
      <c r="AK13" t="str">
        <f t="shared" si="19"/>
        <v>corporate</v>
      </c>
      <c r="AL13" t="str">
        <f t="shared" si="20"/>
        <v>Memory Solutions</v>
      </c>
      <c r="AM13" t="str">
        <f t="shared" si="7"/>
        <v>pooja.iyer@corporate.in</v>
      </c>
      <c r="AN13" t="str">
        <f t="shared" si="21"/>
        <v>SYSTEM ADMIN</v>
      </c>
      <c r="AO13" t="str">
        <f t="shared" si="8"/>
        <v xml:space="preserve">Cust012-pooja IYER  </v>
      </c>
      <c r="AP13" t="str">
        <f t="shared" si="22"/>
        <v>pooja IYER</v>
      </c>
      <c r="AQ13" t="str">
        <f t="shared" si="23"/>
        <v>Mumbai, MAHARASHTRA</v>
      </c>
      <c r="AR13" t="str">
        <f t="shared" si="24"/>
        <v>prd-ram-012:CORSAIR 16GB DDR4 ram</v>
      </c>
      <c r="AS13" t="str">
        <f t="shared" si="25"/>
        <v>POOJA.IYER@CORPORATE.IN|(022) 3579-2468</v>
      </c>
      <c r="AT13" t="str">
        <f t="shared" si="26"/>
        <v xml:space="preserve">  Memory SOLUTIONS  -SYSTEM ADMIN</v>
      </c>
      <c r="AU13" t="str">
        <f t="shared" si="27"/>
        <v>CORPORATE 07-Apr-2024</v>
      </c>
      <c r="AV13" t="str">
        <f t="shared" si="28"/>
        <v xml:space="preserve">  963 Worli  ,Mumbai, MAHARASHTRA,400018</v>
      </c>
      <c r="AW13" t="str">
        <f t="shared" si="29"/>
        <v>dept-sys-012_SYSTEM ADMIN</v>
      </c>
      <c r="AX13" t="str">
        <f t="shared" si="30"/>
        <v>Customer ID:Cust012</v>
      </c>
      <c r="AY13" t="str">
        <f t="shared" si="31"/>
        <v>Email:POOJA.IYER@CORPORATE.IN</v>
      </c>
      <c r="AZ13" t="str">
        <f t="shared" si="32"/>
        <v>https://memorysolutions.com/contact</v>
      </c>
      <c r="BA13" t="str">
        <f t="shared" si="33"/>
        <v>Order Placed On 07-Apr-2024</v>
      </c>
      <c r="BB13" t="str">
        <f t="shared" si="34"/>
        <v>pooja IYER  (CORPORATE)</v>
      </c>
      <c r="BC13" t="str">
        <f t="shared" si="35"/>
        <v>prd-ram-012/CORSAIR 16GB DDR4 ram</v>
      </c>
      <c r="BD13" t="str">
        <f t="shared" si="36"/>
        <v>call (022) 3579-2468</v>
      </c>
      <c r="BE13" t="str">
        <f t="shared" si="37"/>
        <v xml:space="preserve">  Memory SOLUTIONS  -dept-sys-012</v>
      </c>
      <c r="BF13" t="str">
        <f t="shared" si="38"/>
        <v>Cust012-12</v>
      </c>
      <c r="BG13" t="str">
        <f t="shared" si="39"/>
        <v>Customer: pooja IYER  ,Type: CORPORATE</v>
      </c>
      <c r="BH13" t="str">
        <f t="shared" si="40"/>
        <v>Mumbai,india</v>
      </c>
      <c r="BI13" t="str">
        <f t="shared" si="41"/>
        <v>Cust</v>
      </c>
      <c r="BJ13" t="str">
        <f t="shared" si="42"/>
        <v>POOJA.IYER</v>
      </c>
      <c r="BK13" t="str">
        <f t="shared" si="43"/>
        <v xml:space="preserve">pooja </v>
      </c>
      <c r="BL13" t="str">
        <f t="shared" si="44"/>
        <v>prd-r</v>
      </c>
      <c r="BM13" t="str">
        <f t="shared" si="45"/>
        <v>COR</v>
      </c>
      <c r="BN13" t="str">
        <f t="shared" si="46"/>
        <v>(022) 35</v>
      </c>
      <c r="BO13" t="str">
        <f t="shared" si="47"/>
        <v>CORPORATE.IN</v>
      </c>
      <c r="BP13" t="str">
        <f t="shared" si="48"/>
        <v>Mumbai</v>
      </c>
      <c r="BQ13" t="str">
        <f t="shared" si="49"/>
        <v>t012</v>
      </c>
      <c r="BR13" t="str">
        <f t="shared" si="50"/>
        <v xml:space="preserve"> IYER</v>
      </c>
      <c r="BS13" t="str">
        <f t="shared" si="51"/>
        <v>am-012</v>
      </c>
      <c r="BU13" t="str">
        <f t="shared" si="52"/>
        <v>-2468</v>
      </c>
      <c r="BV13" t="str">
        <f t="shared" si="53"/>
        <v>400018</v>
      </c>
      <c r="BW13" t="str">
        <f t="shared" si="54"/>
        <v xml:space="preserve"> MAHARASHTRA</v>
      </c>
      <c r="BX13" t="str">
        <f t="shared" si="55"/>
        <v>012</v>
      </c>
      <c r="BY13" t="str">
        <f t="shared" si="56"/>
        <v>sys</v>
      </c>
      <c r="BZ13" t="str">
        <f t="shared" si="57"/>
        <v>ram</v>
      </c>
      <c r="CA13" t="str">
        <f t="shared" si="58"/>
        <v>Apr</v>
      </c>
      <c r="CB13" t="str">
        <f t="shared" si="59"/>
        <v>Memor</v>
      </c>
      <c r="CC13">
        <f t="shared" si="60"/>
        <v>11</v>
      </c>
      <c r="CD13">
        <f t="shared" si="61"/>
        <v>12</v>
      </c>
      <c r="CE13">
        <f t="shared" si="62"/>
        <v>23</v>
      </c>
      <c r="CF13">
        <f t="shared" si="63"/>
        <v>6</v>
      </c>
      <c r="CG13">
        <f t="shared" si="64"/>
        <v>21</v>
      </c>
      <c r="CH13">
        <f t="shared" si="65"/>
        <v>7</v>
      </c>
      <c r="CI13">
        <f t="shared" si="66"/>
        <v>7</v>
      </c>
      <c r="CJ13" t="str">
        <f t="shared" si="67"/>
        <v>Not found</v>
      </c>
      <c r="CK13">
        <f t="shared" si="68"/>
        <v>15</v>
      </c>
      <c r="CL13">
        <f t="shared" si="69"/>
        <v>4</v>
      </c>
      <c r="CM13">
        <f t="shared" si="70"/>
        <v>13</v>
      </c>
      <c r="CN13">
        <f t="shared" si="71"/>
        <v>6</v>
      </c>
      <c r="CO13">
        <f t="shared" si="72"/>
        <v>16</v>
      </c>
      <c r="CP13">
        <f t="shared" si="73"/>
        <v>8</v>
      </c>
      <c r="CQ13">
        <f t="shared" si="74"/>
        <v>12</v>
      </c>
      <c r="CR13">
        <f t="shared" si="75"/>
        <v>7</v>
      </c>
      <c r="CS13">
        <f t="shared" si="76"/>
        <v>9</v>
      </c>
      <c r="CT13">
        <f t="shared" si="77"/>
        <v>8</v>
      </c>
      <c r="CU13">
        <f t="shared" si="78"/>
        <v>26</v>
      </c>
      <c r="CV13">
        <f t="shared" si="79"/>
        <v>3</v>
      </c>
      <c r="CW13" t="str">
        <f t="shared" si="80"/>
        <v>Customer ID012</v>
      </c>
      <c r="CX13" t="str">
        <f t="shared" si="81"/>
        <v>POOJA.IYER[AT]CORPORATE.IN</v>
      </c>
      <c r="CY13" t="str">
        <f t="shared" si="82"/>
        <v>Product-RAM-012</v>
      </c>
      <c r="CZ13" t="str">
        <f t="shared" si="83"/>
        <v>prd_ram_012</v>
      </c>
      <c r="DA13" t="str">
        <f t="shared" si="84"/>
        <v>DEPARTMENT-SYS-012</v>
      </c>
      <c r="DB13" t="str">
        <f t="shared" si="85"/>
        <v>POOJA.IYER@CORPORATE.IN</v>
      </c>
      <c r="DC13" t="str">
        <f t="shared" si="86"/>
        <v>HTTPS://MEMORYSOLUTIONS.COM</v>
      </c>
      <c r="DD13" t="str">
        <f t="shared" si="87"/>
        <v>pooja/IYER//</v>
      </c>
      <c r="DE13" t="str">
        <f t="shared" si="88"/>
        <v>CORPORATE</v>
      </c>
      <c r="DF13" t="str">
        <f t="shared" si="89"/>
        <v>Mumbai; MAHARASHTRA;400018</v>
      </c>
      <c r="DG13" t="str">
        <f t="shared" si="90"/>
        <v>SYSTEM ADMIN</v>
      </c>
      <c r="DH13" t="str">
        <f t="shared" si="91"/>
        <v xml:space="preserve"> 022  3579-2468</v>
      </c>
      <c r="DI13" t="str">
        <f t="shared" si="92"/>
        <v xml:space="preserve">  Memory SOLUTIONS  </v>
      </c>
      <c r="DJ13" t="str">
        <f t="shared" si="93"/>
        <v>https:://memorysolutions.com</v>
      </c>
      <c r="DK13" t="str">
        <f t="shared" si="94"/>
        <v xml:space="preserve">    963  Worli    </v>
      </c>
      <c r="DL13" t="str">
        <f t="shared" si="95"/>
        <v>POOJA.IYER</v>
      </c>
      <c r="DM13" t="str">
        <f t="shared" si="96"/>
        <v>pooja.IYER@  Memory SOLUTIONS  .com</v>
      </c>
      <c r="DN13" t="str">
        <f t="shared" si="97"/>
        <v>pooja</v>
      </c>
      <c r="DO13" t="str">
        <f t="shared" si="98"/>
        <v>IYER</v>
      </c>
      <c r="DP13" t="str">
        <f t="shared" si="99"/>
        <v>IYER,pooja</v>
      </c>
      <c r="DQ13" t="str">
        <f t="shared" si="100"/>
        <v>Name has10characters</v>
      </c>
      <c r="DR13" t="str">
        <f t="shared" si="101"/>
        <v>Check Domain</v>
      </c>
      <c r="DS13" t="str">
        <f t="shared" si="102"/>
        <v>(022</v>
      </c>
      <c r="DT13" t="str">
        <f t="shared" si="103"/>
        <v>Cus012</v>
      </c>
      <c r="DU13" t="str">
        <f t="shared" si="104"/>
        <v>piyer</v>
      </c>
      <c r="DV13" t="str">
        <f t="shared" si="105"/>
        <v>prd012</v>
      </c>
      <c r="DW13" t="str">
        <f t="shared" si="106"/>
        <v>(022) 3579-2468</v>
      </c>
      <c r="DX13" t="str">
        <f t="shared" si="107"/>
        <v>2024</v>
      </c>
      <c r="DY13" t="str">
        <f t="shared" si="108"/>
        <v>p</v>
      </c>
      <c r="DZ13" t="str">
        <f t="shared" si="109"/>
        <v>poojaIYER@  Memory SOLUTIONS  .com</v>
      </c>
      <c r="EA13" t="str">
        <f t="shared" si="110"/>
        <v/>
      </c>
      <c r="EB13" t="str">
        <f t="shared" si="111"/>
        <v>CORPORATE.IN</v>
      </c>
      <c r="EC13">
        <f t="shared" si="112"/>
        <v>21</v>
      </c>
      <c r="ED13" t="str">
        <f t="shared" si="113"/>
        <v>Mu12</v>
      </c>
      <c r="EE13" t="str">
        <f t="shared" si="114"/>
        <v>Mumbai- MAHARASHTRA(400018)</v>
      </c>
      <c r="EF13" t="str">
        <f t="shared" si="115"/>
        <v>02235792468</v>
      </c>
      <c r="EG13" t="str">
        <f t="shared" si="116"/>
        <v>CUST-012</v>
      </c>
      <c r="EH13" t="str">
        <f t="shared" si="117"/>
        <v>public</v>
      </c>
      <c r="EI13" t="str">
        <f t="shared" si="118"/>
        <v>PRD-012-07Apr24</v>
      </c>
      <c r="EJ13" t="str">
        <f t="shared" si="119"/>
        <v>Corporate</v>
      </c>
    </row>
    <row r="14" spans="1:140" x14ac:dyDescent="0.3">
      <c r="A14" t="s">
        <v>177</v>
      </c>
      <c r="B14" t="s">
        <v>1443</v>
      </c>
      <c r="C14" t="s">
        <v>1444</v>
      </c>
      <c r="D14" t="s">
        <v>178</v>
      </c>
      <c r="E14" t="s">
        <v>179</v>
      </c>
      <c r="F14" t="s">
        <v>180</v>
      </c>
      <c r="G14" t="s">
        <v>181</v>
      </c>
      <c r="H14" t="s">
        <v>1598</v>
      </c>
      <c r="I14" t="s">
        <v>1599</v>
      </c>
      <c r="J14">
        <v>160017</v>
      </c>
      <c r="K14" t="str">
        <f t="shared" si="9"/>
        <v>chandigarh, CHANDIGARH,160017</v>
      </c>
      <c r="L14" t="s">
        <v>182</v>
      </c>
      <c r="M14" t="s">
        <v>183</v>
      </c>
      <c r="N14" t="s">
        <v>184</v>
      </c>
      <c r="O14" t="s">
        <v>78</v>
      </c>
      <c r="P14" t="s">
        <v>185</v>
      </c>
      <c r="Q14" t="s">
        <v>186</v>
      </c>
      <c r="R14" t="s">
        <v>187</v>
      </c>
      <c r="S14" t="s">
        <v>188</v>
      </c>
      <c r="T14" t="s">
        <v>189</v>
      </c>
      <c r="U14" t="str">
        <f t="shared" si="0"/>
        <v>KARAN MALHOTRA</v>
      </c>
      <c r="V14" t="str">
        <f t="shared" si="1"/>
        <v>karan.malhotra@mail.com</v>
      </c>
      <c r="W14" t="str">
        <f t="shared" si="10"/>
        <v>Chandigarh</v>
      </c>
      <c r="X14" t="str">
        <f t="shared" si="2"/>
        <v>karan malhotra</v>
      </c>
      <c r="Y14" t="str">
        <f t="shared" si="11"/>
        <v>RETAIL</v>
      </c>
      <c r="Z14" t="str">
        <f t="shared" si="12"/>
        <v>graphics pro</v>
      </c>
      <c r="AA14" t="str">
        <f t="shared" si="13"/>
        <v>Gaming Manager</v>
      </c>
      <c r="AB14" t="str">
        <f t="shared" si="3"/>
        <v>159 Sector 17</v>
      </c>
      <c r="AC14" t="str">
        <f t="shared" si="14"/>
        <v>DEPT-GAM-013</v>
      </c>
      <c r="AD14" t="str">
        <f t="shared" si="15"/>
        <v>Nvidia Geforce Rtx 3060</v>
      </c>
      <c r="AE14" t="str">
        <f t="shared" si="16"/>
        <v>www.graphics.in</v>
      </c>
      <c r="AF14" t="str">
        <f t="shared" si="17"/>
        <v>Stock confirmation required</v>
      </c>
      <c r="AG14" t="str">
        <f t="shared" si="4"/>
        <v>CUST013</v>
      </c>
      <c r="AH14" t="str">
        <f t="shared" si="18"/>
        <v>PRD-GPU-013</v>
      </c>
      <c r="AI14" t="str">
        <f t="shared" si="5"/>
        <v>Karan Malhotra</v>
      </c>
      <c r="AJ14" t="str">
        <f t="shared" si="6"/>
        <v>9876012345</v>
      </c>
      <c r="AK14" t="str">
        <f t="shared" si="19"/>
        <v>retail</v>
      </c>
      <c r="AL14" t="str">
        <f t="shared" si="20"/>
        <v>Graphics Pro</v>
      </c>
      <c r="AM14" t="str">
        <f t="shared" si="7"/>
        <v>karan.malhotra@mail.com</v>
      </c>
      <c r="AN14" t="str">
        <f t="shared" si="21"/>
        <v>GAMING MANAGER</v>
      </c>
      <c r="AO14" t="str">
        <f t="shared" si="8"/>
        <v>CUST013-karan malhotra</v>
      </c>
      <c r="AP14" t="str">
        <f t="shared" si="22"/>
        <v>karan malhotra</v>
      </c>
      <c r="AQ14" t="str">
        <f t="shared" si="23"/>
        <v>chandigarh, CHANDIGARH</v>
      </c>
      <c r="AR14" t="str">
        <f t="shared" si="24"/>
        <v>PRD-GPU-013:nvidia GeForce RTX 3060</v>
      </c>
      <c r="AS14" t="str">
        <f t="shared" si="25"/>
        <v>karan.malhotra@mail.com|9876012345</v>
      </c>
      <c r="AT14" t="str">
        <f t="shared" si="26"/>
        <v>graphics PRO-Gaming Manager</v>
      </c>
      <c r="AU14" t="str">
        <f t="shared" si="27"/>
        <v>retail 14-Apr-2024</v>
      </c>
      <c r="AV14" t="str">
        <f t="shared" si="28"/>
        <v>159 Sector 17,chandigarh, CHANDIGARH,160017</v>
      </c>
      <c r="AW14" t="str">
        <f t="shared" si="29"/>
        <v>dept-gam-013_Gaming Manager</v>
      </c>
      <c r="AX14" t="str">
        <f t="shared" si="30"/>
        <v>Customer ID:CUST013</v>
      </c>
      <c r="AY14" t="str">
        <f t="shared" si="31"/>
        <v>Email:karan.malhotra@mail.com</v>
      </c>
      <c r="AZ14" t="str">
        <f t="shared" si="32"/>
        <v>WWW.GRAPHICS.IN/contact</v>
      </c>
      <c r="BA14" t="str">
        <f t="shared" si="33"/>
        <v>Order Placed On 14-Apr-2024</v>
      </c>
      <c r="BB14" t="str">
        <f t="shared" si="34"/>
        <v>karan malhotra(retail)</v>
      </c>
      <c r="BC14" t="str">
        <f t="shared" si="35"/>
        <v>PRD-GPU-013/nvidia GeForce RTX 3060</v>
      </c>
      <c r="BD14" t="str">
        <f t="shared" si="36"/>
        <v>call 9876012345</v>
      </c>
      <c r="BE14" t="str">
        <f t="shared" si="37"/>
        <v>graphics PRO-dept-gam-013</v>
      </c>
      <c r="BF14" t="str">
        <f t="shared" si="38"/>
        <v>CUST013-13</v>
      </c>
      <c r="BG14" t="str">
        <f t="shared" si="39"/>
        <v>Customer: karan malhotra,Type: retail</v>
      </c>
      <c r="BH14" t="str">
        <f t="shared" si="40"/>
        <v>chandigarh,india</v>
      </c>
      <c r="BI14" t="str">
        <f t="shared" si="41"/>
        <v>CUST</v>
      </c>
      <c r="BJ14" t="str">
        <f t="shared" si="42"/>
        <v>karan.malh</v>
      </c>
      <c r="BK14" t="str">
        <f t="shared" si="43"/>
        <v xml:space="preserve">karan </v>
      </c>
      <c r="BL14" t="str">
        <f t="shared" si="44"/>
        <v>PRD-G</v>
      </c>
      <c r="BM14" t="str">
        <f t="shared" si="45"/>
        <v>ret</v>
      </c>
      <c r="BN14" t="str">
        <f t="shared" si="46"/>
        <v>98760123</v>
      </c>
      <c r="BO14" t="str">
        <f t="shared" si="47"/>
        <v>mail.com</v>
      </c>
      <c r="BP14" t="str">
        <f t="shared" si="48"/>
        <v>chandigarh</v>
      </c>
      <c r="BQ14" t="str">
        <f t="shared" si="49"/>
        <v>T013</v>
      </c>
      <c r="BR14" t="str">
        <f t="shared" si="50"/>
        <v>hotra</v>
      </c>
      <c r="BS14" t="str">
        <f t="shared" si="51"/>
        <v>PU-013</v>
      </c>
      <c r="BU14" t="str">
        <f t="shared" si="52"/>
        <v>12345</v>
      </c>
      <c r="BV14" t="str">
        <f t="shared" si="53"/>
        <v>160017</v>
      </c>
      <c r="BW14" t="str">
        <f t="shared" si="54"/>
        <v xml:space="preserve"> CHANDIGARH</v>
      </c>
      <c r="BX14" t="str">
        <f t="shared" si="55"/>
        <v>013</v>
      </c>
      <c r="BY14" t="str">
        <f t="shared" si="56"/>
        <v>gam</v>
      </c>
      <c r="BZ14" t="str">
        <f t="shared" si="57"/>
        <v>GPU</v>
      </c>
      <c r="CA14" t="str">
        <f t="shared" si="58"/>
        <v>Apr</v>
      </c>
      <c r="CB14" t="str">
        <f t="shared" si="59"/>
        <v>aphic</v>
      </c>
      <c r="CC14">
        <f t="shared" si="60"/>
        <v>15</v>
      </c>
      <c r="CD14">
        <f t="shared" si="61"/>
        <v>14</v>
      </c>
      <c r="CE14">
        <f t="shared" si="62"/>
        <v>23</v>
      </c>
      <c r="CF14">
        <f t="shared" si="63"/>
        <v>6</v>
      </c>
      <c r="CG14">
        <f t="shared" si="64"/>
        <v>23</v>
      </c>
      <c r="CH14">
        <f t="shared" si="65"/>
        <v>11</v>
      </c>
      <c r="CI14">
        <f t="shared" si="66"/>
        <v>7</v>
      </c>
      <c r="CJ14" t="str">
        <f t="shared" si="67"/>
        <v>Not found</v>
      </c>
      <c r="CK14">
        <f t="shared" si="68"/>
        <v>10</v>
      </c>
      <c r="CL14">
        <f t="shared" si="69"/>
        <v>4</v>
      </c>
      <c r="CM14">
        <f t="shared" si="70"/>
        <v>13</v>
      </c>
      <c r="CN14">
        <f t="shared" si="71"/>
        <v>6</v>
      </c>
      <c r="CO14">
        <f t="shared" si="72"/>
        <v>12</v>
      </c>
      <c r="CP14">
        <f t="shared" si="73"/>
        <v>8</v>
      </c>
      <c r="CQ14">
        <f t="shared" si="74"/>
        <v>12</v>
      </c>
      <c r="CR14" t="str">
        <f t="shared" si="75"/>
        <v>not found</v>
      </c>
      <c r="CS14">
        <f t="shared" si="76"/>
        <v>6</v>
      </c>
      <c r="CT14">
        <f t="shared" si="77"/>
        <v>8</v>
      </c>
      <c r="CU14">
        <f t="shared" si="78"/>
        <v>29</v>
      </c>
      <c r="CV14">
        <f t="shared" si="79"/>
        <v>3</v>
      </c>
      <c r="CW14" t="str">
        <f t="shared" si="80"/>
        <v>Customer ID013</v>
      </c>
      <c r="CX14" t="str">
        <f t="shared" si="81"/>
        <v>karan.malhotra[AT]mail.com</v>
      </c>
      <c r="CY14" t="str">
        <f t="shared" si="82"/>
        <v>Product-GPU-013</v>
      </c>
      <c r="CZ14" t="str">
        <f t="shared" si="83"/>
        <v>PRD_GPU_013</v>
      </c>
      <c r="DA14" t="str">
        <f t="shared" si="84"/>
        <v>DEPARTMENT-GAM-013</v>
      </c>
      <c r="DB14" t="str">
        <f t="shared" si="85"/>
        <v>KARAN.MALHOTRA@MAIL.in</v>
      </c>
      <c r="DC14" t="str">
        <f t="shared" si="86"/>
        <v>https://www..GRAPHICS.IN</v>
      </c>
      <c r="DD14" t="str">
        <f t="shared" si="87"/>
        <v>karan/malhotra</v>
      </c>
      <c r="DE14" t="str">
        <f t="shared" si="88"/>
        <v>RETAIL CUSTOMER</v>
      </c>
      <c r="DF14" t="str">
        <f t="shared" si="89"/>
        <v>chandigarh; CHANDIGARH;160017</v>
      </c>
      <c r="DG14" t="str">
        <f t="shared" si="90"/>
        <v>Gaming Manager</v>
      </c>
      <c r="DH14" t="str">
        <f t="shared" si="91"/>
        <v>9876012345</v>
      </c>
      <c r="DI14" t="str">
        <f t="shared" si="92"/>
        <v>graphics PRO</v>
      </c>
      <c r="DJ14" t="str">
        <f t="shared" si="93"/>
        <v>WWW.GRAPHICS.IN</v>
      </c>
      <c r="DK14" t="str">
        <f t="shared" si="94"/>
        <v>159  Sector  17</v>
      </c>
      <c r="DL14" t="str">
        <f t="shared" si="95"/>
        <v>karan.malhotra</v>
      </c>
      <c r="DM14" t="str">
        <f t="shared" si="96"/>
        <v>karan.malhotra@graphics PRO.com</v>
      </c>
      <c r="DN14" t="str">
        <f t="shared" si="97"/>
        <v>karan</v>
      </c>
      <c r="DO14" t="str">
        <f t="shared" si="98"/>
        <v>malhotra</v>
      </c>
      <c r="DP14" t="str">
        <f t="shared" si="99"/>
        <v>malhotra,karan</v>
      </c>
      <c r="DQ14" t="str">
        <f t="shared" si="100"/>
        <v>Name has14characters</v>
      </c>
      <c r="DR14" t="str">
        <f t="shared" si="101"/>
        <v>Valid</v>
      </c>
      <c r="DS14" t="str">
        <f t="shared" si="102"/>
        <v>9876</v>
      </c>
      <c r="DT14" t="str">
        <f t="shared" si="103"/>
        <v>CUS013</v>
      </c>
      <c r="DU14" t="str">
        <f t="shared" si="104"/>
        <v>kmalhotra</v>
      </c>
      <c r="DV14" t="str">
        <f t="shared" si="105"/>
        <v>PRD013</v>
      </c>
      <c r="DW14" t="str">
        <f t="shared" si="106"/>
        <v>(987)  601-2345</v>
      </c>
      <c r="DX14" t="str">
        <f t="shared" si="107"/>
        <v>2024</v>
      </c>
      <c r="DY14" t="str">
        <f t="shared" si="108"/>
        <v>k</v>
      </c>
      <c r="DZ14" t="str">
        <f t="shared" si="109"/>
        <v>karanmalhotra@graphics PRO.com</v>
      </c>
      <c r="EA14" t="str">
        <f t="shared" si="110"/>
        <v>Retail</v>
      </c>
      <c r="EB14" t="str">
        <f t="shared" si="111"/>
        <v>mail.com</v>
      </c>
      <c r="EC14">
        <f t="shared" si="112"/>
        <v>23</v>
      </c>
      <c r="ED14" t="str">
        <f t="shared" si="113"/>
        <v>ch13</v>
      </c>
      <c r="EE14" t="str">
        <f t="shared" si="114"/>
        <v>chandigarh- CHANDIGARH(160017)</v>
      </c>
      <c r="EF14" t="str">
        <f t="shared" si="115"/>
        <v>9876012345</v>
      </c>
      <c r="EG14" t="str">
        <f t="shared" si="116"/>
        <v>CUST-013</v>
      </c>
      <c r="EH14" t="str">
        <f t="shared" si="117"/>
        <v>public</v>
      </c>
      <c r="EI14" t="str">
        <f t="shared" si="118"/>
        <v>PRD-013-14Apr24</v>
      </c>
      <c r="EJ14" t="str">
        <f t="shared" si="119"/>
        <v>Retail</v>
      </c>
    </row>
    <row r="15" spans="1:140" x14ac:dyDescent="0.3">
      <c r="A15" t="s">
        <v>190</v>
      </c>
      <c r="B15" t="s">
        <v>1445</v>
      </c>
      <c r="C15" t="s">
        <v>1446</v>
      </c>
      <c r="D15" t="s">
        <v>191</v>
      </c>
      <c r="E15" t="s">
        <v>192</v>
      </c>
      <c r="F15" t="s">
        <v>193</v>
      </c>
      <c r="G15" t="s">
        <v>194</v>
      </c>
      <c r="H15" t="s">
        <v>1600</v>
      </c>
      <c r="I15" t="s">
        <v>1601</v>
      </c>
      <c r="J15">
        <v>302001</v>
      </c>
      <c r="K15" t="str">
        <f t="shared" si="9"/>
        <v>JAIPUR, Rajasthan,302001</v>
      </c>
      <c r="L15" t="s">
        <v>195</v>
      </c>
      <c r="M15" t="s">
        <v>196</v>
      </c>
      <c r="N15" t="s">
        <v>197</v>
      </c>
      <c r="O15" t="s">
        <v>50</v>
      </c>
      <c r="P15" t="s">
        <v>198</v>
      </c>
      <c r="Q15" t="s">
        <v>199</v>
      </c>
      <c r="R15" t="s">
        <v>200</v>
      </c>
      <c r="S15" t="s">
        <v>201</v>
      </c>
      <c r="T15" t="s">
        <v>202</v>
      </c>
      <c r="U15" t="str">
        <f t="shared" si="0"/>
        <v xml:space="preserve">  RITU BAJAJ</v>
      </c>
      <c r="V15" t="str">
        <f t="shared" si="1"/>
        <v>ritu_bajaj@inbox.in</v>
      </c>
      <c r="W15" t="str">
        <f t="shared" si="10"/>
        <v>Jaipur</v>
      </c>
      <c r="X15" t="str">
        <f t="shared" si="2"/>
        <v>RITU bajaj</v>
      </c>
      <c r="Y15" t="str">
        <f t="shared" si="11"/>
        <v>RETAIL</v>
      </c>
      <c r="Z15" t="str">
        <f t="shared" si="12"/>
        <v>power store solutions</v>
      </c>
      <c r="AA15" t="str">
        <f t="shared" si="13"/>
        <v>Store Head</v>
      </c>
      <c r="AB15" t="str">
        <f t="shared" si="3"/>
        <v>357 MI Road</v>
      </c>
      <c r="AC15" t="str">
        <f t="shared" si="14"/>
        <v>DEPT-STORE-014</v>
      </c>
      <c r="AD15" t="str">
        <f t="shared" si="15"/>
        <v>Corsair 650W Power Supply</v>
      </c>
      <c r="AE15" t="str">
        <f t="shared" si="16"/>
        <v>www.powerstore.com</v>
      </c>
      <c r="AF15" t="str">
        <f t="shared" si="17"/>
        <v>Installation guide needed</v>
      </c>
      <c r="AG15" t="str">
        <f t="shared" si="4"/>
        <v>CUST014</v>
      </c>
      <c r="AH15" t="str">
        <f t="shared" si="18"/>
        <v>PRD-PSU-014</v>
      </c>
      <c r="AI15" t="str">
        <f t="shared" si="5"/>
        <v xml:space="preserve">  Ritu Bajaj</v>
      </c>
      <c r="AJ15" t="str">
        <f t="shared" si="6"/>
        <v>(0141) 2581-3692</v>
      </c>
      <c r="AK15" t="str">
        <f t="shared" si="19"/>
        <v>retail</v>
      </c>
      <c r="AL15" t="str">
        <f t="shared" si="20"/>
        <v>Power Store Solutions</v>
      </c>
      <c r="AM15" t="str">
        <f t="shared" si="7"/>
        <v>ritu_bajaj@inbox.in</v>
      </c>
      <c r="AN15" t="str">
        <f t="shared" si="21"/>
        <v>STORE HEAD</v>
      </c>
      <c r="AO15" t="str">
        <f t="shared" si="8"/>
        <v>cust014-  RITU bajaj</v>
      </c>
      <c r="AP15" t="str">
        <f t="shared" si="22"/>
        <v>RITU bajaj</v>
      </c>
      <c r="AQ15" t="str">
        <f t="shared" si="23"/>
        <v>JAIPUR, Rajasthan</v>
      </c>
      <c r="AR15" t="str">
        <f t="shared" si="24"/>
        <v>prd-psu-014:CORSAIR 650W power SUPPLY</v>
      </c>
      <c r="AS15" t="str">
        <f t="shared" si="25"/>
        <v>ritu_bajaj@inbox.in|(0141) 2581-3692</v>
      </c>
      <c r="AT15" t="str">
        <f t="shared" si="26"/>
        <v>POWER store solutions-store HEAD</v>
      </c>
      <c r="AU15" t="str">
        <f t="shared" si="27"/>
        <v>Retail 21-Apr-2024</v>
      </c>
      <c r="AV15" t="str">
        <f t="shared" si="28"/>
        <v xml:space="preserve">  357 MI Road  ,JAIPUR, Rajasthan,302001</v>
      </c>
      <c r="AW15" t="str">
        <f t="shared" si="29"/>
        <v>DEPT-STORE-014_store HEAD</v>
      </c>
      <c r="AX15" t="str">
        <f t="shared" si="30"/>
        <v>Customer ID:cust014</v>
      </c>
      <c r="AY15" t="str">
        <f t="shared" si="31"/>
        <v>Email:ritu_bajaj@inbox.in</v>
      </c>
      <c r="AZ15" t="str">
        <f t="shared" si="32"/>
        <v>www.powerstore.com/contact</v>
      </c>
      <c r="BA15" t="str">
        <f t="shared" si="33"/>
        <v>Order Placed On 21-Apr-2024</v>
      </c>
      <c r="BB15" t="str">
        <f t="shared" si="34"/>
        <v xml:space="preserve">  RITU bajaj(Retail)</v>
      </c>
      <c r="BC15" t="str">
        <f t="shared" si="35"/>
        <v>prd-psu-014/CORSAIR 650W power SUPPLY</v>
      </c>
      <c r="BD15" t="str">
        <f t="shared" si="36"/>
        <v>call (0141) 2581-3692</v>
      </c>
      <c r="BE15" t="str">
        <f t="shared" si="37"/>
        <v>POWER store solutions-DEPT-STORE-014</v>
      </c>
      <c r="BF15" t="str">
        <f t="shared" si="38"/>
        <v>cust014-14</v>
      </c>
      <c r="BG15" t="str">
        <f t="shared" si="39"/>
        <v>Customer:   RITU bajaj,Type: Retail</v>
      </c>
      <c r="BH15" t="str">
        <f t="shared" si="40"/>
        <v>JAIPUR,india</v>
      </c>
      <c r="BI15" t="str">
        <f t="shared" si="41"/>
        <v>cust</v>
      </c>
      <c r="BJ15" t="str">
        <f t="shared" si="42"/>
        <v>ritu_bajaj</v>
      </c>
      <c r="BK15" t="str">
        <f t="shared" si="43"/>
        <v xml:space="preserve">RITU </v>
      </c>
      <c r="BL15" t="str">
        <f t="shared" si="44"/>
        <v>prd-p</v>
      </c>
      <c r="BM15" t="str">
        <f t="shared" si="45"/>
        <v>Ret</v>
      </c>
      <c r="BN15" t="str">
        <f t="shared" si="46"/>
        <v>(0141) 2</v>
      </c>
      <c r="BO15" t="str">
        <f t="shared" si="47"/>
        <v>inbox.in</v>
      </c>
      <c r="BP15" t="str">
        <f t="shared" si="48"/>
        <v>JAIPUR</v>
      </c>
      <c r="BQ15" t="str">
        <f t="shared" si="49"/>
        <v>t014</v>
      </c>
      <c r="BR15" t="str">
        <f t="shared" si="50"/>
        <v>ajaj</v>
      </c>
      <c r="BS15" t="str">
        <f t="shared" si="51"/>
        <v>su-014</v>
      </c>
      <c r="BU15" t="str">
        <f t="shared" si="52"/>
        <v>-3692</v>
      </c>
      <c r="BV15" t="str">
        <f t="shared" si="53"/>
        <v>302001</v>
      </c>
      <c r="BW15" t="str">
        <f t="shared" si="54"/>
        <v xml:space="preserve"> Rajasthan</v>
      </c>
      <c r="BX15" t="str">
        <f t="shared" si="55"/>
        <v>014</v>
      </c>
      <c r="BY15" t="str">
        <f t="shared" si="56"/>
        <v>STORE</v>
      </c>
      <c r="BZ15" t="str">
        <f t="shared" si="57"/>
        <v>psu</v>
      </c>
      <c r="CA15" t="str">
        <f t="shared" si="58"/>
        <v>Apr</v>
      </c>
      <c r="CB15" t="str">
        <f t="shared" si="59"/>
        <v>WER s</v>
      </c>
      <c r="CC15">
        <f t="shared" si="60"/>
        <v>11</v>
      </c>
      <c r="CD15">
        <f t="shared" si="61"/>
        <v>12</v>
      </c>
      <c r="CE15">
        <f t="shared" si="62"/>
        <v>19</v>
      </c>
      <c r="CF15">
        <f t="shared" si="63"/>
        <v>1</v>
      </c>
      <c r="CG15">
        <f t="shared" si="64"/>
        <v>25</v>
      </c>
      <c r="CH15">
        <f t="shared" si="65"/>
        <v>7</v>
      </c>
      <c r="CI15">
        <f t="shared" si="66"/>
        <v>7</v>
      </c>
      <c r="CJ15">
        <f t="shared" si="67"/>
        <v>1</v>
      </c>
      <c r="CK15">
        <f t="shared" si="68"/>
        <v>16</v>
      </c>
      <c r="CL15">
        <f t="shared" si="69"/>
        <v>4</v>
      </c>
      <c r="CM15">
        <f t="shared" si="70"/>
        <v>15</v>
      </c>
      <c r="CN15">
        <f t="shared" si="71"/>
        <v>17</v>
      </c>
      <c r="CO15">
        <f t="shared" si="72"/>
        <v>21</v>
      </c>
      <c r="CP15">
        <f t="shared" si="73"/>
        <v>8</v>
      </c>
      <c r="CQ15">
        <f t="shared" si="74"/>
        <v>14</v>
      </c>
      <c r="CR15" t="str">
        <f t="shared" si="75"/>
        <v>not found</v>
      </c>
      <c r="CS15">
        <f t="shared" si="76"/>
        <v>6</v>
      </c>
      <c r="CT15">
        <f t="shared" si="77"/>
        <v>8</v>
      </c>
      <c r="CU15">
        <f t="shared" si="78"/>
        <v>25</v>
      </c>
      <c r="CV15">
        <f t="shared" si="79"/>
        <v>3</v>
      </c>
      <c r="CW15" t="str">
        <f t="shared" si="80"/>
        <v>Customer ID014</v>
      </c>
      <c r="CX15" t="str">
        <f t="shared" si="81"/>
        <v>ritu_bajaj[AT]inbox.in</v>
      </c>
      <c r="CY15" t="str">
        <f t="shared" si="82"/>
        <v>Product-PSU-014</v>
      </c>
      <c r="CZ15" t="str">
        <f t="shared" si="83"/>
        <v>prd_psu_014</v>
      </c>
      <c r="DA15" t="str">
        <f t="shared" si="84"/>
        <v>DEPARTMENT-STORE-014</v>
      </c>
      <c r="DB15" t="str">
        <f t="shared" si="85"/>
        <v>RITU_BAJAJ@INBOX.IN</v>
      </c>
      <c r="DC15" t="str">
        <f t="shared" si="86"/>
        <v>https://www..POWERSTORE.COM</v>
      </c>
      <c r="DD15" t="str">
        <f t="shared" si="87"/>
        <v>//RITU/bajaj</v>
      </c>
      <c r="DE15" t="str">
        <f t="shared" si="88"/>
        <v>Retail</v>
      </c>
      <c r="DF15" t="str">
        <f t="shared" si="89"/>
        <v>JAIPUR; Rajasthan;302001</v>
      </c>
      <c r="DG15" t="str">
        <f t="shared" si="90"/>
        <v>store HEAD</v>
      </c>
      <c r="DH15" t="str">
        <f t="shared" si="91"/>
        <v xml:space="preserve"> 0141  2581-3692</v>
      </c>
      <c r="DI15" t="str">
        <f t="shared" si="92"/>
        <v>POWER store solutions</v>
      </c>
      <c r="DJ15" t="str">
        <f t="shared" si="93"/>
        <v>www.powerstore.com</v>
      </c>
      <c r="DK15" t="str">
        <f t="shared" si="94"/>
        <v xml:space="preserve">    357  MI  Road    </v>
      </c>
      <c r="DL15" t="str">
        <f t="shared" si="95"/>
        <v>ritu_bajaj</v>
      </c>
      <c r="DM15" t="str">
        <f t="shared" si="96"/>
        <v>RITU.bajaj@POWER store solutions.com</v>
      </c>
      <c r="DN15" t="str">
        <f t="shared" si="97"/>
        <v>RITU</v>
      </c>
      <c r="DO15" t="str">
        <f t="shared" si="98"/>
        <v>bajaj</v>
      </c>
      <c r="DP15" t="str">
        <f t="shared" si="99"/>
        <v>bajaj,RITU</v>
      </c>
      <c r="DQ15" t="str">
        <f t="shared" si="100"/>
        <v>Name has10characters</v>
      </c>
      <c r="DR15" t="str">
        <f t="shared" si="101"/>
        <v>Check Domain</v>
      </c>
      <c r="DS15" t="str">
        <f t="shared" si="102"/>
        <v>(014</v>
      </c>
      <c r="DT15" t="str">
        <f t="shared" si="103"/>
        <v>cus014</v>
      </c>
      <c r="DU15" t="str">
        <f t="shared" si="104"/>
        <v>Rbajaj</v>
      </c>
      <c r="DV15" t="str">
        <f t="shared" si="105"/>
        <v>prd014</v>
      </c>
      <c r="DW15" t="str">
        <f t="shared" si="106"/>
        <v>(0141) 2581-3692</v>
      </c>
      <c r="DX15" t="str">
        <f t="shared" si="107"/>
        <v>2024</v>
      </c>
      <c r="DY15" t="str">
        <f t="shared" si="108"/>
        <v>R</v>
      </c>
      <c r="DZ15" t="str">
        <f t="shared" si="109"/>
        <v>RITUbajaj@POWER store solutions.com</v>
      </c>
      <c r="EA15" t="str">
        <f t="shared" si="110"/>
        <v>Retail</v>
      </c>
      <c r="EB15" t="str">
        <f t="shared" si="111"/>
        <v>inbox.in</v>
      </c>
      <c r="EC15">
        <f t="shared" si="112"/>
        <v>25</v>
      </c>
      <c r="ED15" t="str">
        <f t="shared" si="113"/>
        <v>JA14</v>
      </c>
      <c r="EE15" t="str">
        <f t="shared" si="114"/>
        <v>JAIPUR- Rajasthan(302001)</v>
      </c>
      <c r="EF15" t="str">
        <f t="shared" si="115"/>
        <v>014125813692</v>
      </c>
      <c r="EG15" t="str">
        <f t="shared" si="116"/>
        <v>CUST-014</v>
      </c>
      <c r="EH15" t="str">
        <f t="shared" si="117"/>
        <v>public</v>
      </c>
      <c r="EI15" t="str">
        <f t="shared" si="118"/>
        <v>PRD-014-21Apr24</v>
      </c>
      <c r="EJ15" t="str">
        <f t="shared" si="119"/>
        <v>Retail</v>
      </c>
    </row>
    <row r="16" spans="1:140" x14ac:dyDescent="0.3">
      <c r="A16" t="s">
        <v>203</v>
      </c>
      <c r="B16" t="s">
        <v>1447</v>
      </c>
      <c r="C16" t="s">
        <v>1448</v>
      </c>
      <c r="D16" t="s">
        <v>204</v>
      </c>
      <c r="E16" t="s">
        <v>205</v>
      </c>
      <c r="F16" t="s">
        <v>206</v>
      </c>
      <c r="G16" t="s">
        <v>207</v>
      </c>
      <c r="H16" t="s">
        <v>1602</v>
      </c>
      <c r="I16" t="s">
        <v>1585</v>
      </c>
      <c r="J16">
        <v>411001</v>
      </c>
      <c r="K16" t="str">
        <f t="shared" si="9"/>
        <v>Pune, maharashtra,411001</v>
      </c>
      <c r="L16" t="s">
        <v>208</v>
      </c>
      <c r="M16" t="s">
        <v>209</v>
      </c>
      <c r="N16" t="s">
        <v>210</v>
      </c>
      <c r="O16" t="s">
        <v>92</v>
      </c>
      <c r="P16" t="s">
        <v>211</v>
      </c>
      <c r="Q16" t="s">
        <v>212</v>
      </c>
      <c r="R16" t="s">
        <v>213</v>
      </c>
      <c r="S16" t="s">
        <v>214</v>
      </c>
      <c r="T16" t="s">
        <v>215</v>
      </c>
      <c r="U16" t="str">
        <f t="shared" si="0"/>
        <v xml:space="preserve">MANISH KAPOOR  </v>
      </c>
      <c r="V16" t="str">
        <f t="shared" si="1"/>
        <v>manish.kapoor@company.com</v>
      </c>
      <c r="W16" t="str">
        <f t="shared" si="10"/>
        <v>Pune</v>
      </c>
      <c r="X16" t="str">
        <f t="shared" si="2"/>
        <v>manish KAPOOR</v>
      </c>
      <c r="Y16" t="str">
        <f t="shared" si="11"/>
        <v>WHOLESALE</v>
      </c>
      <c r="Z16" t="str">
        <f t="shared" si="12"/>
        <v xml:space="preserve">  pc builders india  </v>
      </c>
      <c r="AA16" t="str">
        <f t="shared" si="13"/>
        <v>Purchase Manager</v>
      </c>
      <c r="AB16" t="str">
        <f t="shared" si="3"/>
        <v>753 Koregaon Park</v>
      </c>
      <c r="AC16" t="str">
        <f t="shared" si="14"/>
        <v>DEPT-PUR-015</v>
      </c>
      <c r="AD16" t="str">
        <f t="shared" si="15"/>
        <v>Nzxt H510 Cabinet</v>
      </c>
      <c r="AE16" t="str">
        <f t="shared" si="16"/>
        <v>https://www.pcbuilders.in</v>
      </c>
      <c r="AF16" t="str">
        <f t="shared" si="17"/>
        <v>Bulk pricing needed</v>
      </c>
      <c r="AG16" t="str">
        <f t="shared" si="4"/>
        <v>CUST015</v>
      </c>
      <c r="AH16" t="str">
        <f t="shared" si="18"/>
        <v>PRD-CASE-015</v>
      </c>
      <c r="AI16" t="str">
        <f t="shared" si="5"/>
        <v xml:space="preserve">Manish Kapoor  </v>
      </c>
      <c r="AJ16" t="str">
        <f t="shared" si="6"/>
        <v>+91-9123450987</v>
      </c>
      <c r="AK16" t="str">
        <f t="shared" si="19"/>
        <v>wholesale</v>
      </c>
      <c r="AL16" t="str">
        <f t="shared" si="20"/>
        <v>Pc Builders India</v>
      </c>
      <c r="AM16" t="str">
        <f t="shared" si="7"/>
        <v>manish.kapoor@company.com</v>
      </c>
      <c r="AN16" t="str">
        <f t="shared" si="21"/>
        <v>PURCHASE MANAGER</v>
      </c>
      <c r="AO16" t="str">
        <f t="shared" si="8"/>
        <v xml:space="preserve">Cust015-manish KAPOOR  </v>
      </c>
      <c r="AP16" t="str">
        <f t="shared" si="22"/>
        <v>manish KAPOOR</v>
      </c>
      <c r="AQ16" t="str">
        <f t="shared" si="23"/>
        <v>Pune, maharashtra</v>
      </c>
      <c r="AR16" t="str">
        <f t="shared" si="24"/>
        <v>PRD-CASE-015:nzxt H510 CABINET</v>
      </c>
      <c r="AS16" t="str">
        <f t="shared" si="25"/>
        <v>MANISH.KAPOOR@COMPANY.COM|+91-9123450987</v>
      </c>
      <c r="AT16" t="str">
        <f t="shared" si="26"/>
        <v xml:space="preserve">  PC builders INDIA  -PURCHASE MANAGER</v>
      </c>
      <c r="AU16" t="str">
        <f t="shared" si="27"/>
        <v>WholeSale 28-Apr-2024</v>
      </c>
      <c r="AV16" t="str">
        <f t="shared" si="28"/>
        <v>753 Koregaon Park,Pune, maharashtra,411001</v>
      </c>
      <c r="AW16" t="str">
        <f t="shared" si="29"/>
        <v>dept-pur-015_PURCHASE MANAGER</v>
      </c>
      <c r="AX16" t="str">
        <f t="shared" si="30"/>
        <v>Customer ID:Cust015</v>
      </c>
      <c r="AY16" t="str">
        <f t="shared" si="31"/>
        <v>Email:MANISH.KAPOOR@COMPANY.COM</v>
      </c>
      <c r="AZ16" t="str">
        <f t="shared" si="32"/>
        <v>https://www.pcbuilders.in/contact</v>
      </c>
      <c r="BA16" t="str">
        <f t="shared" si="33"/>
        <v>Order Placed On 28-Apr-2024</v>
      </c>
      <c r="BB16" t="str">
        <f t="shared" si="34"/>
        <v>manish KAPOOR  (WholeSale)</v>
      </c>
      <c r="BC16" t="str">
        <f t="shared" si="35"/>
        <v>PRD-CASE-015/nzxt H510 CABINET</v>
      </c>
      <c r="BD16" t="str">
        <f t="shared" si="36"/>
        <v>call +91-9123450987</v>
      </c>
      <c r="BE16" t="str">
        <f t="shared" si="37"/>
        <v xml:space="preserve">  PC builders INDIA  -dept-pur-015</v>
      </c>
      <c r="BF16" t="str">
        <f t="shared" si="38"/>
        <v>Cust015-15</v>
      </c>
      <c r="BG16" t="str">
        <f t="shared" si="39"/>
        <v>Customer: manish KAPOOR  ,Type: WholeSale</v>
      </c>
      <c r="BH16" t="str">
        <f t="shared" si="40"/>
        <v>Pune,india</v>
      </c>
      <c r="BI16" t="str">
        <f t="shared" si="41"/>
        <v>Cust</v>
      </c>
      <c r="BJ16" t="str">
        <f t="shared" si="42"/>
        <v>MANISH.KAP</v>
      </c>
      <c r="BK16" t="str">
        <f t="shared" si="43"/>
        <v xml:space="preserve">manish </v>
      </c>
      <c r="BL16" t="str">
        <f t="shared" si="44"/>
        <v>PRD-C</v>
      </c>
      <c r="BM16" t="str">
        <f t="shared" si="45"/>
        <v>Who</v>
      </c>
      <c r="BN16" t="str">
        <f t="shared" si="46"/>
        <v>+91-9123</v>
      </c>
      <c r="BO16" t="str">
        <f t="shared" si="47"/>
        <v>COMPANY.COM</v>
      </c>
      <c r="BP16" t="str">
        <f t="shared" si="48"/>
        <v>Pune</v>
      </c>
      <c r="BQ16" t="str">
        <f t="shared" si="49"/>
        <v>t015</v>
      </c>
      <c r="BR16" t="str">
        <f t="shared" si="50"/>
        <v>KAPOOR</v>
      </c>
      <c r="BS16" t="str">
        <f t="shared" si="51"/>
        <v>SE-015</v>
      </c>
      <c r="BU16" t="str">
        <f t="shared" si="52"/>
        <v>50987</v>
      </c>
      <c r="BV16" t="str">
        <f t="shared" si="53"/>
        <v>411001</v>
      </c>
      <c r="BW16" t="str">
        <f t="shared" si="54"/>
        <v xml:space="preserve"> maharashtra</v>
      </c>
      <c r="BX16" t="str">
        <f t="shared" si="55"/>
        <v>015</v>
      </c>
      <c r="BY16" t="str">
        <f t="shared" si="56"/>
        <v>pur</v>
      </c>
      <c r="BZ16" t="str">
        <f t="shared" si="57"/>
        <v>CASE</v>
      </c>
      <c r="CA16" t="str">
        <f t="shared" si="58"/>
        <v>Apr</v>
      </c>
      <c r="CB16" t="str">
        <f t="shared" si="59"/>
        <v>PC bu</v>
      </c>
      <c r="CC16">
        <f t="shared" si="60"/>
        <v>14</v>
      </c>
      <c r="CD16">
        <f t="shared" si="61"/>
        <v>15</v>
      </c>
      <c r="CE16">
        <f t="shared" si="62"/>
        <v>25</v>
      </c>
      <c r="CF16">
        <f t="shared" si="63"/>
        <v>7</v>
      </c>
      <c r="CG16">
        <f t="shared" si="64"/>
        <v>17</v>
      </c>
      <c r="CH16">
        <f t="shared" si="65"/>
        <v>5</v>
      </c>
      <c r="CI16">
        <f t="shared" si="66"/>
        <v>7</v>
      </c>
      <c r="CJ16">
        <f t="shared" si="67"/>
        <v>9</v>
      </c>
      <c r="CK16">
        <f t="shared" si="68"/>
        <v>14</v>
      </c>
      <c r="CL16">
        <f t="shared" si="69"/>
        <v>4</v>
      </c>
      <c r="CM16">
        <f t="shared" si="70"/>
        <v>17</v>
      </c>
      <c r="CN16">
        <f t="shared" si="71"/>
        <v>7</v>
      </c>
      <c r="CO16">
        <f t="shared" si="72"/>
        <v>17</v>
      </c>
      <c r="CP16">
        <f t="shared" si="73"/>
        <v>9</v>
      </c>
      <c r="CQ16">
        <f t="shared" si="74"/>
        <v>12</v>
      </c>
      <c r="CR16">
        <f t="shared" si="75"/>
        <v>7</v>
      </c>
      <c r="CS16">
        <f t="shared" si="76"/>
        <v>9</v>
      </c>
      <c r="CT16">
        <f t="shared" si="77"/>
        <v>9</v>
      </c>
      <c r="CU16">
        <f t="shared" si="78"/>
        <v>19</v>
      </c>
      <c r="CV16">
        <f t="shared" si="79"/>
        <v>3</v>
      </c>
      <c r="CW16" t="str">
        <f t="shared" si="80"/>
        <v>Customer ID015</v>
      </c>
      <c r="CX16" t="str">
        <f t="shared" si="81"/>
        <v>MANISH.KAPOOR[AT]COMPANY.COM</v>
      </c>
      <c r="CY16" t="str">
        <f t="shared" si="82"/>
        <v>Product-CASE-015</v>
      </c>
      <c r="CZ16" t="str">
        <f t="shared" si="83"/>
        <v>PRD_CASE_015</v>
      </c>
      <c r="DA16" t="str">
        <f t="shared" si="84"/>
        <v>DEPARTMENT-PUR-015</v>
      </c>
      <c r="DB16" t="str">
        <f t="shared" si="85"/>
        <v>MANISH.KAPOOR@COMPANY.in</v>
      </c>
      <c r="DC16" t="str">
        <f t="shared" si="86"/>
        <v>HTTPS://https://www..PCBUILDERS.IN</v>
      </c>
      <c r="DD16" t="str">
        <f t="shared" si="87"/>
        <v>manish/KAPOOR//</v>
      </c>
      <c r="DE16" t="str">
        <f t="shared" si="88"/>
        <v>WholeSale</v>
      </c>
      <c r="DF16" t="str">
        <f t="shared" si="89"/>
        <v>Pune; maharashtra;411001</v>
      </c>
      <c r="DG16" t="str">
        <f t="shared" si="90"/>
        <v>PURCHASE MANAGER</v>
      </c>
      <c r="DH16" t="str">
        <f t="shared" si="91"/>
        <v>+91-9123450987</v>
      </c>
      <c r="DI16" t="str">
        <f t="shared" si="92"/>
        <v xml:space="preserve">  PC builders INDIA  </v>
      </c>
      <c r="DJ16" t="str">
        <f t="shared" si="93"/>
        <v>https:://www.pcbuilders.in</v>
      </c>
      <c r="DK16" t="str">
        <f t="shared" si="94"/>
        <v>753  Koregaon  Park</v>
      </c>
      <c r="DL16" t="str">
        <f t="shared" si="95"/>
        <v>MANISH.KAPOOR</v>
      </c>
      <c r="DM16" t="str">
        <f t="shared" si="96"/>
        <v>manish.KAPOOR@  PC builders INDIA  .com</v>
      </c>
      <c r="DN16" t="str">
        <f t="shared" si="97"/>
        <v>manish</v>
      </c>
      <c r="DO16" t="str">
        <f t="shared" si="98"/>
        <v>KAPOOR</v>
      </c>
      <c r="DP16" t="str">
        <f t="shared" si="99"/>
        <v>KAPOOR,manish</v>
      </c>
      <c r="DQ16" t="str">
        <f t="shared" si="100"/>
        <v>Name has13characters</v>
      </c>
      <c r="DR16" t="str">
        <f t="shared" si="101"/>
        <v>Valid</v>
      </c>
      <c r="DS16" t="str">
        <f t="shared" si="102"/>
        <v>+91-</v>
      </c>
      <c r="DT16" t="str">
        <f t="shared" si="103"/>
        <v>Cus015</v>
      </c>
      <c r="DU16" t="str">
        <f t="shared" si="104"/>
        <v>mkapoor</v>
      </c>
      <c r="DV16" t="str">
        <f t="shared" si="105"/>
        <v>PRD015</v>
      </c>
      <c r="DW16" t="str">
        <f t="shared" si="106"/>
        <v>+91-9123450987</v>
      </c>
      <c r="DX16" t="str">
        <f t="shared" si="107"/>
        <v>2024</v>
      </c>
      <c r="DY16" t="str">
        <f t="shared" si="108"/>
        <v>m</v>
      </c>
      <c r="DZ16" t="str">
        <f t="shared" si="109"/>
        <v>manishKAPOOR@  PC builders INDIA  .com</v>
      </c>
      <c r="EA16" t="str">
        <f t="shared" si="110"/>
        <v>Wholesale</v>
      </c>
      <c r="EB16" t="str">
        <f t="shared" si="111"/>
        <v>COMPANY.COM</v>
      </c>
      <c r="EC16">
        <f t="shared" si="112"/>
        <v>17</v>
      </c>
      <c r="ED16" t="str">
        <f t="shared" si="113"/>
        <v>Pu15</v>
      </c>
      <c r="EE16" t="str">
        <f t="shared" si="114"/>
        <v>Pune- maharashtra(411001)</v>
      </c>
      <c r="EF16" t="str">
        <f t="shared" si="115"/>
        <v>919123450987</v>
      </c>
      <c r="EG16" t="str">
        <f t="shared" si="116"/>
        <v>CUST-015</v>
      </c>
      <c r="EH16" t="str">
        <f t="shared" si="117"/>
        <v>public</v>
      </c>
      <c r="EI16" t="str">
        <f t="shared" si="118"/>
        <v>PRD-015-28Apr24</v>
      </c>
      <c r="EJ16" t="str">
        <f t="shared" si="119"/>
        <v>Wholesale</v>
      </c>
    </row>
    <row r="17" spans="1:140" x14ac:dyDescent="0.3">
      <c r="A17" t="s">
        <v>216</v>
      </c>
      <c r="B17" t="s">
        <v>1449</v>
      </c>
      <c r="C17" t="s">
        <v>1450</v>
      </c>
      <c r="D17" t="s">
        <v>217</v>
      </c>
      <c r="E17" t="s">
        <v>218</v>
      </c>
      <c r="F17" t="s">
        <v>219</v>
      </c>
      <c r="G17" t="s">
        <v>220</v>
      </c>
      <c r="H17" t="s">
        <v>1603</v>
      </c>
      <c r="I17" t="s">
        <v>1604</v>
      </c>
      <c r="J17">
        <v>682001</v>
      </c>
      <c r="K17" t="str">
        <f t="shared" si="9"/>
        <v>kochi, Kerala,682001</v>
      </c>
      <c r="L17" t="s">
        <v>221</v>
      </c>
      <c r="M17" t="s">
        <v>222</v>
      </c>
      <c r="N17" t="s">
        <v>223</v>
      </c>
      <c r="O17" t="s">
        <v>78</v>
      </c>
      <c r="P17" t="s">
        <v>224</v>
      </c>
      <c r="Q17" t="s">
        <v>225</v>
      </c>
      <c r="R17" t="s">
        <v>226</v>
      </c>
      <c r="S17" t="s">
        <v>227</v>
      </c>
      <c r="T17" t="s">
        <v>228</v>
      </c>
      <c r="U17" t="str">
        <f t="shared" si="0"/>
        <v>DIVYA MENON</v>
      </c>
      <c r="V17" t="str">
        <f t="shared" si="1"/>
        <v>divya.menon@email.com</v>
      </c>
      <c r="W17" t="str">
        <f t="shared" si="10"/>
        <v>Kochi</v>
      </c>
      <c r="X17" t="str">
        <f t="shared" si="2"/>
        <v>divya menon</v>
      </c>
      <c r="Y17" t="str">
        <f t="shared" si="11"/>
        <v>RETAIL</v>
      </c>
      <c r="Z17" t="str">
        <f t="shared" si="12"/>
        <v>cooling world</v>
      </c>
      <c r="AA17" t="str">
        <f t="shared" si="13"/>
        <v>Technical Manager</v>
      </c>
      <c r="AB17" t="str">
        <f t="shared" si="3"/>
        <v>951 MG Road</v>
      </c>
      <c r="AC17" t="str">
        <f t="shared" si="14"/>
        <v>DEPT-TECH-016</v>
      </c>
      <c r="AD17" t="str">
        <f t="shared" si="15"/>
        <v>Cooler Master Cpu Cooler</v>
      </c>
      <c r="AE17" t="str">
        <f t="shared" si="16"/>
        <v>www.cooling.in</v>
      </c>
      <c r="AF17" t="str">
        <f t="shared" si="17"/>
        <v>Urgent order</v>
      </c>
      <c r="AG17" t="str">
        <f t="shared" si="4"/>
        <v>CUST016</v>
      </c>
      <c r="AH17" t="str">
        <f t="shared" si="18"/>
        <v>PRD-COOL-016</v>
      </c>
      <c r="AI17" t="str">
        <f t="shared" si="5"/>
        <v>Divya Menon</v>
      </c>
      <c r="AJ17" t="str">
        <f t="shared" si="6"/>
        <v>0484-2345678</v>
      </c>
      <c r="AK17" t="str">
        <f t="shared" si="19"/>
        <v>retail</v>
      </c>
      <c r="AL17" t="str">
        <f t="shared" si="20"/>
        <v>Cooling World</v>
      </c>
      <c r="AM17" t="str">
        <f t="shared" si="7"/>
        <v>divya.menon@email.com</v>
      </c>
      <c r="AN17" t="str">
        <f t="shared" si="21"/>
        <v>TECHNICAL MANAGER</v>
      </c>
      <c r="AO17" t="str">
        <f t="shared" si="8"/>
        <v>CUST016-divya menon</v>
      </c>
      <c r="AP17" t="str">
        <f t="shared" si="22"/>
        <v>divya menon</v>
      </c>
      <c r="AQ17" t="str">
        <f t="shared" si="23"/>
        <v>kochi, Kerala</v>
      </c>
      <c r="AR17" t="str">
        <f t="shared" si="24"/>
        <v>prd-cool-016:COOLER master CPU cooler</v>
      </c>
      <c r="AS17" t="str">
        <f t="shared" si="25"/>
        <v>divya.menon@email.com|0484-2345678</v>
      </c>
      <c r="AT17" t="str">
        <f t="shared" si="26"/>
        <v>cooling WORLD-technical manager</v>
      </c>
      <c r="AU17" t="str">
        <f t="shared" si="27"/>
        <v>retail 05-May-2024</v>
      </c>
      <c r="AV17" t="str">
        <f t="shared" si="28"/>
        <v xml:space="preserve">  951 MG Road  ,kochi, Kerala,682001</v>
      </c>
      <c r="AW17" t="str">
        <f t="shared" si="29"/>
        <v>DEPT-TECH-016_technical manager</v>
      </c>
      <c r="AX17" t="str">
        <f t="shared" si="30"/>
        <v>Customer ID:CUST016</v>
      </c>
      <c r="AY17" t="str">
        <f t="shared" si="31"/>
        <v>Email:divya.menon@email.com</v>
      </c>
      <c r="AZ17" t="str">
        <f t="shared" si="32"/>
        <v>WWW.COOLING.IN/contact</v>
      </c>
      <c r="BA17" t="str">
        <f t="shared" si="33"/>
        <v>Order Placed On 05-May-2024</v>
      </c>
      <c r="BB17" t="str">
        <f t="shared" si="34"/>
        <v>divya menon(retail)</v>
      </c>
      <c r="BC17" t="str">
        <f t="shared" si="35"/>
        <v>prd-cool-016/COOLER master CPU cooler</v>
      </c>
      <c r="BD17" t="str">
        <f t="shared" si="36"/>
        <v>call 0484-2345678</v>
      </c>
      <c r="BE17" t="str">
        <f t="shared" si="37"/>
        <v>cooling WORLD-DEPT-TECH-016</v>
      </c>
      <c r="BF17" t="str">
        <f t="shared" si="38"/>
        <v>CUST016-16</v>
      </c>
      <c r="BG17" t="str">
        <f t="shared" si="39"/>
        <v>Customer: divya menon,Type: retail</v>
      </c>
      <c r="BH17" t="str">
        <f t="shared" si="40"/>
        <v>kochi,india</v>
      </c>
      <c r="BI17" t="str">
        <f t="shared" si="41"/>
        <v>CUST</v>
      </c>
      <c r="BJ17" t="str">
        <f t="shared" si="42"/>
        <v>divya.meno</v>
      </c>
      <c r="BK17" t="str">
        <f t="shared" si="43"/>
        <v xml:space="preserve">divya </v>
      </c>
      <c r="BL17" t="str">
        <f t="shared" si="44"/>
        <v>prd-c</v>
      </c>
      <c r="BM17" t="str">
        <f t="shared" si="45"/>
        <v>ret</v>
      </c>
      <c r="BN17" t="str">
        <f t="shared" si="46"/>
        <v>0484-234</v>
      </c>
      <c r="BO17" t="str">
        <f t="shared" si="47"/>
        <v>email.com</v>
      </c>
      <c r="BP17" t="str">
        <f t="shared" si="48"/>
        <v>kochi</v>
      </c>
      <c r="BQ17" t="str">
        <f t="shared" si="49"/>
        <v>T016</v>
      </c>
      <c r="BR17" t="str">
        <f t="shared" si="50"/>
        <v>menon</v>
      </c>
      <c r="BS17" t="str">
        <f t="shared" si="51"/>
        <v>ol-016</v>
      </c>
      <c r="BU17" t="str">
        <f t="shared" si="52"/>
        <v>45678</v>
      </c>
      <c r="BV17" t="str">
        <f t="shared" si="53"/>
        <v>682001</v>
      </c>
      <c r="BW17" t="str">
        <f t="shared" si="54"/>
        <v xml:space="preserve"> Kerala</v>
      </c>
      <c r="BX17" t="str">
        <f t="shared" si="55"/>
        <v>016</v>
      </c>
      <c r="BY17" t="str">
        <f t="shared" si="56"/>
        <v>TECH</v>
      </c>
      <c r="BZ17" t="str">
        <f t="shared" si="57"/>
        <v>cool</v>
      </c>
      <c r="CA17" t="str">
        <f t="shared" si="58"/>
        <v>May</v>
      </c>
      <c r="CB17" t="str">
        <f t="shared" si="59"/>
        <v>oling</v>
      </c>
      <c r="CC17">
        <f t="shared" si="60"/>
        <v>12</v>
      </c>
      <c r="CD17">
        <f t="shared" si="61"/>
        <v>11</v>
      </c>
      <c r="CE17">
        <f t="shared" si="62"/>
        <v>21</v>
      </c>
      <c r="CF17">
        <f t="shared" si="63"/>
        <v>6</v>
      </c>
      <c r="CG17">
        <f t="shared" si="64"/>
        <v>24</v>
      </c>
      <c r="CH17">
        <f t="shared" si="65"/>
        <v>6</v>
      </c>
      <c r="CI17">
        <f t="shared" si="66"/>
        <v>7</v>
      </c>
      <c r="CJ17" t="str">
        <f t="shared" si="67"/>
        <v>Not found</v>
      </c>
      <c r="CK17">
        <f t="shared" si="68"/>
        <v>12</v>
      </c>
      <c r="CL17">
        <f t="shared" si="69"/>
        <v>4</v>
      </c>
      <c r="CM17">
        <f t="shared" si="70"/>
        <v>15</v>
      </c>
      <c r="CN17">
        <f t="shared" si="71"/>
        <v>6</v>
      </c>
      <c r="CO17">
        <f t="shared" si="72"/>
        <v>13</v>
      </c>
      <c r="CP17">
        <f t="shared" si="73"/>
        <v>9</v>
      </c>
      <c r="CQ17">
        <f t="shared" si="74"/>
        <v>13</v>
      </c>
      <c r="CR17" t="str">
        <f t="shared" si="75"/>
        <v>not found</v>
      </c>
      <c r="CS17">
        <f t="shared" si="76"/>
        <v>6</v>
      </c>
      <c r="CT17">
        <f t="shared" si="77"/>
        <v>9</v>
      </c>
      <c r="CU17">
        <f t="shared" si="78"/>
        <v>16</v>
      </c>
      <c r="CV17">
        <f t="shared" si="79"/>
        <v>3</v>
      </c>
      <c r="CW17" t="str">
        <f t="shared" si="80"/>
        <v>Customer ID016</v>
      </c>
      <c r="CX17" t="str">
        <f t="shared" si="81"/>
        <v>divya.menon[AT]email.com</v>
      </c>
      <c r="CY17" t="str">
        <f t="shared" si="82"/>
        <v>Product-COOL-016</v>
      </c>
      <c r="CZ17" t="str">
        <f t="shared" si="83"/>
        <v>prd_cool_016</v>
      </c>
      <c r="DA17" t="str">
        <f t="shared" si="84"/>
        <v>DEPARTMENT-TECH-016</v>
      </c>
      <c r="DB17" t="str">
        <f t="shared" si="85"/>
        <v>DIVYA.MENON@EMAIL.in</v>
      </c>
      <c r="DC17" t="str">
        <f t="shared" si="86"/>
        <v>https://www..COOLING.IN</v>
      </c>
      <c r="DD17" t="str">
        <f t="shared" si="87"/>
        <v>divya/menon</v>
      </c>
      <c r="DE17" t="str">
        <f t="shared" si="88"/>
        <v>RETAIL CUSTOMER</v>
      </c>
      <c r="DF17" t="str">
        <f t="shared" si="89"/>
        <v>kochi; Kerala;682001</v>
      </c>
      <c r="DG17" t="str">
        <f t="shared" si="90"/>
        <v>technical MANAGER</v>
      </c>
      <c r="DH17" t="str">
        <f t="shared" si="91"/>
        <v>0484-2345678</v>
      </c>
      <c r="DI17" t="str">
        <f t="shared" si="92"/>
        <v>cooling WORLD</v>
      </c>
      <c r="DJ17" t="str">
        <f t="shared" si="93"/>
        <v>WWW.COOLING.IN</v>
      </c>
      <c r="DK17" t="str">
        <f t="shared" si="94"/>
        <v xml:space="preserve">    951  MG  Road    </v>
      </c>
      <c r="DL17" t="str">
        <f t="shared" si="95"/>
        <v>divya.menon</v>
      </c>
      <c r="DM17" t="str">
        <f t="shared" si="96"/>
        <v>divya.menon@cooling WORLD.com</v>
      </c>
      <c r="DN17" t="str">
        <f t="shared" si="97"/>
        <v>divya</v>
      </c>
      <c r="DO17" t="str">
        <f t="shared" si="98"/>
        <v>menon</v>
      </c>
      <c r="DP17" t="str">
        <f t="shared" si="99"/>
        <v>menon,divya</v>
      </c>
      <c r="DQ17" t="str">
        <f t="shared" si="100"/>
        <v>Name has11characters</v>
      </c>
      <c r="DR17" t="str">
        <f t="shared" si="101"/>
        <v>Valid</v>
      </c>
      <c r="DS17" t="str">
        <f t="shared" si="102"/>
        <v>0484</v>
      </c>
      <c r="DT17" t="str">
        <f t="shared" si="103"/>
        <v>CUS016</v>
      </c>
      <c r="DU17" t="str">
        <f t="shared" si="104"/>
        <v>dmenon</v>
      </c>
      <c r="DV17" t="str">
        <f t="shared" si="105"/>
        <v>prd016</v>
      </c>
      <c r="DW17" t="str">
        <f t="shared" si="106"/>
        <v>0484-2345678</v>
      </c>
      <c r="DX17" t="str">
        <f t="shared" si="107"/>
        <v>2024</v>
      </c>
      <c r="DY17" t="str">
        <f t="shared" si="108"/>
        <v>d</v>
      </c>
      <c r="DZ17" t="str">
        <f t="shared" si="109"/>
        <v>divyamenon@cooling WORLD.com</v>
      </c>
      <c r="EA17" t="str">
        <f t="shared" si="110"/>
        <v>Retail</v>
      </c>
      <c r="EB17" t="str">
        <f t="shared" si="111"/>
        <v>email.com</v>
      </c>
      <c r="EC17">
        <f t="shared" si="112"/>
        <v>24</v>
      </c>
      <c r="ED17" t="str">
        <f t="shared" si="113"/>
        <v>ko16</v>
      </c>
      <c r="EE17" t="str">
        <f t="shared" si="114"/>
        <v>kochi- Kerala(682001)</v>
      </c>
      <c r="EF17" t="str">
        <f t="shared" si="115"/>
        <v>04842345678</v>
      </c>
      <c r="EG17" t="str">
        <f t="shared" si="116"/>
        <v>CUST-016</v>
      </c>
      <c r="EH17" t="str">
        <f t="shared" si="117"/>
        <v>public</v>
      </c>
      <c r="EI17" t="str">
        <f t="shared" si="118"/>
        <v>PRD-016-05May24</v>
      </c>
      <c r="EJ17" t="str">
        <f t="shared" si="119"/>
        <v>Retail</v>
      </c>
    </row>
    <row r="18" spans="1:140" x14ac:dyDescent="0.3">
      <c r="A18" t="s">
        <v>229</v>
      </c>
      <c r="B18" t="s">
        <v>1451</v>
      </c>
      <c r="C18" t="s">
        <v>1452</v>
      </c>
      <c r="D18" t="s">
        <v>230</v>
      </c>
      <c r="E18" t="s">
        <v>231</v>
      </c>
      <c r="F18" t="s">
        <v>232</v>
      </c>
      <c r="G18" t="s">
        <v>233</v>
      </c>
      <c r="H18" t="s">
        <v>1605</v>
      </c>
      <c r="I18" t="s">
        <v>1606</v>
      </c>
      <c r="J18">
        <v>226001</v>
      </c>
      <c r="K18" t="str">
        <f t="shared" si="9"/>
        <v>LUCKNOW, uttar pradesh,226001</v>
      </c>
      <c r="L18" t="s">
        <v>234</v>
      </c>
      <c r="M18" t="s">
        <v>235</v>
      </c>
      <c r="N18" t="s">
        <v>236</v>
      </c>
      <c r="O18" t="s">
        <v>50</v>
      </c>
      <c r="P18" t="s">
        <v>237</v>
      </c>
      <c r="Q18" t="s">
        <v>238</v>
      </c>
      <c r="R18" t="s">
        <v>239</v>
      </c>
      <c r="S18" t="s">
        <v>240</v>
      </c>
      <c r="T18" t="s">
        <v>241</v>
      </c>
      <c r="U18" t="str">
        <f t="shared" si="0"/>
        <v>ROHIT SAXENA</v>
      </c>
      <c r="V18" t="str">
        <f t="shared" si="1"/>
        <v>rohit_saxena@mail.in</v>
      </c>
      <c r="W18" t="str">
        <f t="shared" si="10"/>
        <v>Lucknow</v>
      </c>
      <c r="X18" t="str">
        <f t="shared" si="2"/>
        <v>ROHIT saxena</v>
      </c>
      <c r="Y18" t="str">
        <f t="shared" si="11"/>
        <v>RETAIL</v>
      </c>
      <c r="Z18" t="str">
        <f t="shared" si="12"/>
        <v>rgb store india</v>
      </c>
      <c r="AA18" t="str">
        <f t="shared" si="13"/>
        <v>Sales Manager</v>
      </c>
      <c r="AB18" t="str">
        <f t="shared" si="3"/>
        <v>147 Hazratganj</v>
      </c>
      <c r="AC18" t="str">
        <f t="shared" si="14"/>
        <v>DEPT-SALES-017</v>
      </c>
      <c r="AD18" t="str">
        <f t="shared" si="15"/>
        <v>Corsair Rgb Fans Pack</v>
      </c>
      <c r="AE18" t="str">
        <f t="shared" si="16"/>
        <v>www.rgbstore.com</v>
      </c>
      <c r="AF18" t="str">
        <f t="shared" si="17"/>
        <v>Color preference: Blue</v>
      </c>
      <c r="AG18" t="str">
        <f t="shared" si="4"/>
        <v>CUST017</v>
      </c>
      <c r="AH18" t="str">
        <f t="shared" si="18"/>
        <v>PRD-FAN-017</v>
      </c>
      <c r="AI18" t="str">
        <f t="shared" si="5"/>
        <v>Rohit Saxena</v>
      </c>
      <c r="AJ18" t="str">
        <f t="shared" si="6"/>
        <v>(0522) 9876-5432</v>
      </c>
      <c r="AK18" t="str">
        <f t="shared" si="19"/>
        <v>retail</v>
      </c>
      <c r="AL18" t="str">
        <f t="shared" si="20"/>
        <v>Rgb Store India</v>
      </c>
      <c r="AM18" t="str">
        <f t="shared" si="7"/>
        <v>rohit_saxena@mail.in</v>
      </c>
      <c r="AN18" t="str">
        <f t="shared" si="21"/>
        <v>SALES MANAGER</v>
      </c>
      <c r="AO18" t="str">
        <f t="shared" si="8"/>
        <v>cust017-ROHIT saxena</v>
      </c>
      <c r="AP18" t="str">
        <f t="shared" si="22"/>
        <v>ROHIT saxena</v>
      </c>
      <c r="AQ18" t="str">
        <f t="shared" si="23"/>
        <v>LUCKNOW, uttar pradesh</v>
      </c>
      <c r="AR18" t="str">
        <f t="shared" si="24"/>
        <v>PRD-FAN-017:corsair RGB FANS pack</v>
      </c>
      <c r="AS18" t="str">
        <f t="shared" si="25"/>
        <v>rohit_saxena@mail.in|(0522) 9876-5432</v>
      </c>
      <c r="AT18" t="str">
        <f t="shared" si="26"/>
        <v>RGB STORE india-Sales Manager</v>
      </c>
      <c r="AU18" t="str">
        <f t="shared" si="27"/>
        <v>Retail 12-May-2024</v>
      </c>
      <c r="AV18" t="str">
        <f t="shared" si="28"/>
        <v>147 Hazratganj,LUCKNOW, uttar pradesh,226001</v>
      </c>
      <c r="AW18" t="str">
        <f t="shared" si="29"/>
        <v>dept-sales-017_Sales Manager</v>
      </c>
      <c r="AX18" t="str">
        <f t="shared" si="30"/>
        <v>Customer ID:cust017</v>
      </c>
      <c r="AY18" t="str">
        <f t="shared" si="31"/>
        <v>Email:rohit_saxena@mail.in</v>
      </c>
      <c r="AZ18" t="str">
        <f t="shared" si="32"/>
        <v>www.rgbstore.com/contact</v>
      </c>
      <c r="BA18" t="str">
        <f t="shared" si="33"/>
        <v>Order Placed On 12-May-2024</v>
      </c>
      <c r="BB18" t="str">
        <f t="shared" si="34"/>
        <v>ROHIT saxena(Retail)</v>
      </c>
      <c r="BC18" t="str">
        <f t="shared" si="35"/>
        <v>PRD-FAN-017/corsair RGB FANS pack</v>
      </c>
      <c r="BD18" t="str">
        <f t="shared" si="36"/>
        <v>call (0522) 9876-5432</v>
      </c>
      <c r="BE18" t="str">
        <f t="shared" si="37"/>
        <v>RGB STORE india-dept-sales-017</v>
      </c>
      <c r="BF18" t="str">
        <f t="shared" si="38"/>
        <v>cust017-17</v>
      </c>
      <c r="BG18" t="str">
        <f t="shared" si="39"/>
        <v>Customer: ROHIT saxena,Type: Retail</v>
      </c>
      <c r="BH18" t="str">
        <f t="shared" si="40"/>
        <v>LUCKNOW,india</v>
      </c>
      <c r="BI18" t="str">
        <f t="shared" si="41"/>
        <v>cust</v>
      </c>
      <c r="BJ18" t="str">
        <f t="shared" si="42"/>
        <v>rohit_saxe</v>
      </c>
      <c r="BK18" t="str">
        <f t="shared" si="43"/>
        <v xml:space="preserve">ROHIT </v>
      </c>
      <c r="BL18" t="str">
        <f t="shared" si="44"/>
        <v>PRD-F</v>
      </c>
      <c r="BM18" t="str">
        <f t="shared" si="45"/>
        <v>Ret</v>
      </c>
      <c r="BN18" t="str">
        <f t="shared" si="46"/>
        <v>(0522) 9</v>
      </c>
      <c r="BO18" t="str">
        <f t="shared" si="47"/>
        <v>mail.in</v>
      </c>
      <c r="BP18" t="str">
        <f t="shared" si="48"/>
        <v>LUCKNOW</v>
      </c>
      <c r="BQ18" t="str">
        <f t="shared" si="49"/>
        <v>t017</v>
      </c>
      <c r="BR18" t="str">
        <f t="shared" si="50"/>
        <v>axena</v>
      </c>
      <c r="BS18" t="str">
        <f t="shared" si="51"/>
        <v>AN-017</v>
      </c>
      <c r="BU18" t="str">
        <f t="shared" si="52"/>
        <v>-5432</v>
      </c>
      <c r="BV18" t="str">
        <f t="shared" si="53"/>
        <v>226001</v>
      </c>
      <c r="BW18" t="str">
        <f t="shared" si="54"/>
        <v xml:space="preserve"> uttar pradesh</v>
      </c>
      <c r="BX18" t="str">
        <f t="shared" si="55"/>
        <v>017</v>
      </c>
      <c r="BY18" t="str">
        <f t="shared" si="56"/>
        <v>sales</v>
      </c>
      <c r="BZ18" t="str">
        <f t="shared" si="57"/>
        <v>FAN</v>
      </c>
      <c r="CA18" t="str">
        <f t="shared" si="58"/>
        <v>May</v>
      </c>
      <c r="CB18" t="str">
        <f t="shared" si="59"/>
        <v>B STO</v>
      </c>
      <c r="CC18">
        <f t="shared" si="60"/>
        <v>13</v>
      </c>
      <c r="CD18">
        <f t="shared" si="61"/>
        <v>12</v>
      </c>
      <c r="CE18">
        <f t="shared" si="62"/>
        <v>20</v>
      </c>
      <c r="CF18">
        <f t="shared" si="63"/>
        <v>6</v>
      </c>
      <c r="CG18">
        <f t="shared" si="64"/>
        <v>21</v>
      </c>
      <c r="CH18">
        <f t="shared" si="65"/>
        <v>8</v>
      </c>
      <c r="CI18">
        <f t="shared" si="66"/>
        <v>7</v>
      </c>
      <c r="CJ18">
        <f t="shared" si="67"/>
        <v>1</v>
      </c>
      <c r="CK18">
        <f t="shared" si="68"/>
        <v>16</v>
      </c>
      <c r="CL18">
        <f t="shared" si="69"/>
        <v>4</v>
      </c>
      <c r="CM18">
        <f t="shared" si="70"/>
        <v>14</v>
      </c>
      <c r="CN18">
        <f t="shared" si="71"/>
        <v>18</v>
      </c>
      <c r="CO18">
        <f t="shared" si="72"/>
        <v>15</v>
      </c>
      <c r="CP18">
        <f t="shared" si="73"/>
        <v>8</v>
      </c>
      <c r="CQ18">
        <f t="shared" si="74"/>
        <v>14</v>
      </c>
      <c r="CR18" t="str">
        <f t="shared" si="75"/>
        <v>not found</v>
      </c>
      <c r="CS18">
        <f t="shared" si="76"/>
        <v>6</v>
      </c>
      <c r="CT18">
        <f t="shared" si="77"/>
        <v>8</v>
      </c>
      <c r="CU18">
        <f t="shared" si="78"/>
        <v>22</v>
      </c>
      <c r="CV18">
        <f t="shared" si="79"/>
        <v>3</v>
      </c>
      <c r="CW18" t="str">
        <f t="shared" si="80"/>
        <v>Customer ID017</v>
      </c>
      <c r="CX18" t="str">
        <f t="shared" si="81"/>
        <v>rohit_saxena[AT]mail.in</v>
      </c>
      <c r="CY18" t="str">
        <f t="shared" si="82"/>
        <v>Product-FAN-017</v>
      </c>
      <c r="CZ18" t="str">
        <f t="shared" si="83"/>
        <v>PRD_FAN_017</v>
      </c>
      <c r="DA18" t="str">
        <f t="shared" si="84"/>
        <v>DEPARTMENT-SALES-017</v>
      </c>
      <c r="DB18" t="str">
        <f t="shared" si="85"/>
        <v>ROHIT_SAXENA@MAIL.IN</v>
      </c>
      <c r="DC18" t="str">
        <f t="shared" si="86"/>
        <v>https://www..RGBSTORE.COM</v>
      </c>
      <c r="DD18" t="str">
        <f t="shared" si="87"/>
        <v>ROHIT/saxena</v>
      </c>
      <c r="DE18" t="str">
        <f t="shared" si="88"/>
        <v>Retail</v>
      </c>
      <c r="DF18" t="str">
        <f t="shared" si="89"/>
        <v>LUCKNOW; uttar pradesh;226001</v>
      </c>
      <c r="DG18" t="str">
        <f t="shared" si="90"/>
        <v>Sales Manager</v>
      </c>
      <c r="DH18" t="str">
        <f t="shared" si="91"/>
        <v xml:space="preserve"> 0522  9876-5432</v>
      </c>
      <c r="DI18" t="str">
        <f t="shared" si="92"/>
        <v>RGB STORE india</v>
      </c>
      <c r="DJ18" t="str">
        <f t="shared" si="93"/>
        <v>www.rgbstore.com</v>
      </c>
      <c r="DK18" t="str">
        <f t="shared" si="94"/>
        <v>147  Hazratganj</v>
      </c>
      <c r="DL18" t="str">
        <f t="shared" si="95"/>
        <v>rohit_saxena</v>
      </c>
      <c r="DM18" t="str">
        <f t="shared" si="96"/>
        <v>ROHIT.saxena@RGB STORE india.com</v>
      </c>
      <c r="DN18" t="str">
        <f t="shared" si="97"/>
        <v>ROHIT</v>
      </c>
      <c r="DO18" t="str">
        <f t="shared" si="98"/>
        <v>saxena</v>
      </c>
      <c r="DP18" t="str">
        <f t="shared" si="99"/>
        <v>saxena,ROHIT</v>
      </c>
      <c r="DQ18" t="str">
        <f t="shared" si="100"/>
        <v>Name has12characters</v>
      </c>
      <c r="DR18" t="str">
        <f t="shared" si="101"/>
        <v>Check Domain</v>
      </c>
      <c r="DS18" t="str">
        <f t="shared" si="102"/>
        <v>(052</v>
      </c>
      <c r="DT18" t="str">
        <f t="shared" si="103"/>
        <v>cus017</v>
      </c>
      <c r="DU18" t="str">
        <f t="shared" si="104"/>
        <v>Rsaxena</v>
      </c>
      <c r="DV18" t="str">
        <f t="shared" si="105"/>
        <v>PRD017</v>
      </c>
      <c r="DW18" t="str">
        <f t="shared" si="106"/>
        <v>(0522) 9876-5432</v>
      </c>
      <c r="DX18" t="str">
        <f t="shared" si="107"/>
        <v>2024</v>
      </c>
      <c r="DY18" t="str">
        <f t="shared" si="108"/>
        <v>R</v>
      </c>
      <c r="DZ18" t="str">
        <f t="shared" si="109"/>
        <v>ROHITsaxena@RGB STORE india.com</v>
      </c>
      <c r="EA18" t="str">
        <f t="shared" si="110"/>
        <v>Retail</v>
      </c>
      <c r="EB18" t="str">
        <f t="shared" si="111"/>
        <v>mail.in</v>
      </c>
      <c r="EC18">
        <f t="shared" si="112"/>
        <v>21</v>
      </c>
      <c r="ED18" t="str">
        <f t="shared" si="113"/>
        <v>LU17</v>
      </c>
      <c r="EE18" t="str">
        <f t="shared" si="114"/>
        <v>LUCKNOW- uttar pradesh(226001)</v>
      </c>
      <c r="EF18" t="str">
        <f t="shared" si="115"/>
        <v>052298765432</v>
      </c>
      <c r="EG18" t="str">
        <f t="shared" si="116"/>
        <v>CUST-017</v>
      </c>
      <c r="EH18" t="str">
        <f t="shared" si="117"/>
        <v>public</v>
      </c>
      <c r="EI18" t="str">
        <f t="shared" si="118"/>
        <v>PRD-017-12May24</v>
      </c>
      <c r="EJ18" t="str">
        <f t="shared" si="119"/>
        <v>Retail</v>
      </c>
    </row>
    <row r="19" spans="1:140" x14ac:dyDescent="0.3">
      <c r="A19" t="s">
        <v>242</v>
      </c>
      <c r="B19" t="s">
        <v>1453</v>
      </c>
      <c r="C19" t="s">
        <v>1454</v>
      </c>
      <c r="D19" t="s">
        <v>243</v>
      </c>
      <c r="E19" t="s">
        <v>244</v>
      </c>
      <c r="F19" t="s">
        <v>245</v>
      </c>
      <c r="G19" t="s">
        <v>246</v>
      </c>
      <c r="H19" t="s">
        <v>1607</v>
      </c>
      <c r="I19" t="s">
        <v>1608</v>
      </c>
      <c r="J19">
        <v>695003</v>
      </c>
      <c r="K19" t="str">
        <f t="shared" si="9"/>
        <v>Thiruvananthapuram, KERALA,695003</v>
      </c>
      <c r="L19" t="s">
        <v>247</v>
      </c>
      <c r="M19" t="s">
        <v>248</v>
      </c>
      <c r="N19" t="s">
        <v>249</v>
      </c>
      <c r="O19" t="s">
        <v>132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  <c r="U19" t="str">
        <f t="shared" si="0"/>
        <v xml:space="preserve">SWATI PILLAI  </v>
      </c>
      <c r="V19" t="str">
        <f t="shared" si="1"/>
        <v>swati.pillai@corporate.co.in</v>
      </c>
      <c r="W19" t="str">
        <f t="shared" si="10"/>
        <v>Thiruvananthapuram</v>
      </c>
      <c r="X19" t="str">
        <f t="shared" si="2"/>
        <v>swati PILLAI</v>
      </c>
      <c r="Y19" t="str">
        <f t="shared" si="11"/>
        <v>CORPORATE</v>
      </c>
      <c r="Z19" t="str">
        <f t="shared" si="12"/>
        <v xml:space="preserve">  audio solutions pvt ltd  </v>
      </c>
      <c r="AA19" t="str">
        <f t="shared" si="13"/>
        <v>Office Manager</v>
      </c>
      <c r="AB19" t="str">
        <f t="shared" si="3"/>
        <v>258 Kowdiar</v>
      </c>
      <c r="AC19" t="str">
        <f t="shared" si="14"/>
        <v>DEPT-ADM-018</v>
      </c>
      <c r="AD19" t="str">
        <f t="shared" si="15"/>
        <v>Bose Soundbar 700</v>
      </c>
      <c r="AE19" t="str">
        <f t="shared" si="16"/>
        <v>https://audiosolutions.com</v>
      </c>
      <c r="AF19" t="str">
        <f t="shared" si="17"/>
        <v>Demo required</v>
      </c>
      <c r="AG19" t="str">
        <f t="shared" si="4"/>
        <v>CUST018</v>
      </c>
      <c r="AH19" t="str">
        <f t="shared" si="18"/>
        <v>PRD-SPK-018</v>
      </c>
      <c r="AI19" t="str">
        <f t="shared" si="5"/>
        <v xml:space="preserve">Swati Pillai  </v>
      </c>
      <c r="AJ19" t="str">
        <f t="shared" si="6"/>
        <v>+91-9988001122</v>
      </c>
      <c r="AK19" t="str">
        <f t="shared" si="19"/>
        <v>corporate</v>
      </c>
      <c r="AL19" t="str">
        <f t="shared" si="20"/>
        <v>Audio Solutions Pvt Ltd</v>
      </c>
      <c r="AM19" t="str">
        <f t="shared" si="7"/>
        <v>swati.pillai@corporate.co.in</v>
      </c>
      <c r="AN19" t="str">
        <f t="shared" si="21"/>
        <v>OFFICE MANAGER</v>
      </c>
      <c r="AO19" t="str">
        <f t="shared" si="8"/>
        <v xml:space="preserve">Cust018-swati PILLAI  </v>
      </c>
      <c r="AP19" t="str">
        <f t="shared" si="22"/>
        <v>swati PILLAI</v>
      </c>
      <c r="AQ19" t="str">
        <f t="shared" si="23"/>
        <v>Thiruvananthapuram, KERALA</v>
      </c>
      <c r="AR19" t="str">
        <f t="shared" si="24"/>
        <v>prd-spk-018:BOSE soundbar 700</v>
      </c>
      <c r="AS19" t="str">
        <f t="shared" si="25"/>
        <v>SWATI.PILLAI@CORPORATE.CO.IN|+91-9988001122</v>
      </c>
      <c r="AT19" t="str">
        <f t="shared" si="26"/>
        <v xml:space="preserve">  AUDIO solutions pvt LTD  -OFFICE MANAGER</v>
      </c>
      <c r="AU19" t="str">
        <f t="shared" si="27"/>
        <v>Corporate 19-May-2024</v>
      </c>
      <c r="AV19" t="str">
        <f t="shared" si="28"/>
        <v xml:space="preserve">  258 Kowdiar  ,Thiruvananthapuram, KERALA,695003</v>
      </c>
      <c r="AW19" t="str">
        <f t="shared" si="29"/>
        <v>DEPT-ADM-018_OFFICE MANAGER</v>
      </c>
      <c r="AX19" t="str">
        <f t="shared" si="30"/>
        <v>Customer ID:Cust018</v>
      </c>
      <c r="AY19" t="str">
        <f t="shared" si="31"/>
        <v>Email:SWATI.PILLAI@CORPORATE.CO.IN</v>
      </c>
      <c r="AZ19" t="str">
        <f t="shared" si="32"/>
        <v>https://audiosolutions.com/contact</v>
      </c>
      <c r="BA19" t="str">
        <f t="shared" si="33"/>
        <v>Order Placed On 19-May-2024</v>
      </c>
      <c r="BB19" t="str">
        <f t="shared" si="34"/>
        <v>swati PILLAI  (Corporate)</v>
      </c>
      <c r="BC19" t="str">
        <f t="shared" si="35"/>
        <v>prd-spk-018/BOSE soundbar 700</v>
      </c>
      <c r="BD19" t="str">
        <f t="shared" si="36"/>
        <v>call +91-9988001122</v>
      </c>
      <c r="BE19" t="str">
        <f t="shared" si="37"/>
        <v xml:space="preserve">  AUDIO solutions pvt LTD  -DEPT-ADM-018</v>
      </c>
      <c r="BF19" t="str">
        <f t="shared" si="38"/>
        <v>Cust018-18</v>
      </c>
      <c r="BG19" t="str">
        <f t="shared" si="39"/>
        <v>Customer: swati PILLAI  ,Type: Corporate</v>
      </c>
      <c r="BH19" t="str">
        <f t="shared" si="40"/>
        <v>Thiruvananthapuram,india</v>
      </c>
      <c r="BI19" t="str">
        <f t="shared" si="41"/>
        <v>Cust</v>
      </c>
      <c r="BJ19" t="str">
        <f t="shared" si="42"/>
        <v>SWATI.PILL</v>
      </c>
      <c r="BK19" t="str">
        <f t="shared" si="43"/>
        <v xml:space="preserve">swati </v>
      </c>
      <c r="BL19" t="str">
        <f t="shared" si="44"/>
        <v>prd-s</v>
      </c>
      <c r="BM19" t="str">
        <f t="shared" si="45"/>
        <v>Cor</v>
      </c>
      <c r="BN19" t="str">
        <f t="shared" si="46"/>
        <v>+91-9988</v>
      </c>
      <c r="BO19" t="str">
        <f t="shared" si="47"/>
        <v>CORPORATE.CO.IN</v>
      </c>
      <c r="BP19" t="str">
        <f t="shared" si="48"/>
        <v>Thiruvananthapuram</v>
      </c>
      <c r="BQ19" t="str">
        <f t="shared" si="49"/>
        <v>t018</v>
      </c>
      <c r="BR19" t="str">
        <f t="shared" si="50"/>
        <v>ILLAI</v>
      </c>
      <c r="BS19" t="str">
        <f t="shared" si="51"/>
        <v>pk-018</v>
      </c>
      <c r="BU19" t="str">
        <f t="shared" si="52"/>
        <v>01122</v>
      </c>
      <c r="BV19" t="str">
        <f t="shared" si="53"/>
        <v>695003</v>
      </c>
      <c r="BW19" t="str">
        <f t="shared" si="54"/>
        <v xml:space="preserve"> KERALA</v>
      </c>
      <c r="BX19" t="str">
        <f t="shared" si="55"/>
        <v>018</v>
      </c>
      <c r="BY19" t="str">
        <f t="shared" si="56"/>
        <v>ADM</v>
      </c>
      <c r="BZ19" t="str">
        <f t="shared" si="57"/>
        <v>spk</v>
      </c>
      <c r="CA19" t="str">
        <f t="shared" si="58"/>
        <v>May</v>
      </c>
      <c r="CB19" t="str">
        <f t="shared" si="59"/>
        <v>AUDIO</v>
      </c>
      <c r="CC19">
        <f t="shared" si="60"/>
        <v>13</v>
      </c>
      <c r="CD19">
        <f t="shared" si="61"/>
        <v>14</v>
      </c>
      <c r="CE19">
        <f t="shared" si="62"/>
        <v>28</v>
      </c>
      <c r="CF19">
        <f t="shared" si="63"/>
        <v>6</v>
      </c>
      <c r="CG19">
        <f t="shared" si="64"/>
        <v>17</v>
      </c>
      <c r="CH19">
        <f t="shared" si="65"/>
        <v>19</v>
      </c>
      <c r="CI19">
        <f t="shared" si="66"/>
        <v>7</v>
      </c>
      <c r="CJ19" t="str">
        <f t="shared" si="67"/>
        <v>Not found</v>
      </c>
      <c r="CK19">
        <f t="shared" si="68"/>
        <v>14</v>
      </c>
      <c r="CL19">
        <f t="shared" si="69"/>
        <v>4</v>
      </c>
      <c r="CM19">
        <f t="shared" si="70"/>
        <v>15</v>
      </c>
      <c r="CN19">
        <f t="shared" si="71"/>
        <v>6</v>
      </c>
      <c r="CO19">
        <f t="shared" si="72"/>
        <v>23</v>
      </c>
      <c r="CP19">
        <f t="shared" si="73"/>
        <v>8</v>
      </c>
      <c r="CQ19">
        <f t="shared" si="74"/>
        <v>12</v>
      </c>
      <c r="CR19">
        <f t="shared" si="75"/>
        <v>7</v>
      </c>
      <c r="CS19">
        <f t="shared" si="76"/>
        <v>9</v>
      </c>
      <c r="CT19">
        <f t="shared" si="77"/>
        <v>8</v>
      </c>
      <c r="CU19">
        <f t="shared" si="78"/>
        <v>13</v>
      </c>
      <c r="CV19">
        <f t="shared" si="79"/>
        <v>3</v>
      </c>
      <c r="CW19" t="str">
        <f t="shared" si="80"/>
        <v>Customer ID018</v>
      </c>
      <c r="CX19" t="str">
        <f t="shared" si="81"/>
        <v>SWATI.PILLAI[AT]CORPORATE.CO.IN</v>
      </c>
      <c r="CY19" t="str">
        <f t="shared" si="82"/>
        <v>Product-SPK-018</v>
      </c>
      <c r="CZ19" t="str">
        <f t="shared" si="83"/>
        <v>prd_spk_018</v>
      </c>
      <c r="DA19" t="str">
        <f t="shared" si="84"/>
        <v>DEPARTMENT-ADM-018</v>
      </c>
      <c r="DB19" t="str">
        <f t="shared" si="85"/>
        <v>SWATI.PILLAI@CORPORATE.CO.IN</v>
      </c>
      <c r="DC19" t="str">
        <f t="shared" si="86"/>
        <v>HTTPS://AUDIOSOLUTIONS.COM</v>
      </c>
      <c r="DD19" t="str">
        <f t="shared" si="87"/>
        <v>swati/PILLAI//</v>
      </c>
      <c r="DE19" t="str">
        <f t="shared" si="88"/>
        <v>Corporate</v>
      </c>
      <c r="DF19" t="str">
        <f t="shared" si="89"/>
        <v>Thiruvananthapuram; KERALA;695003</v>
      </c>
      <c r="DG19" t="str">
        <f t="shared" si="90"/>
        <v>OFFICE MANAGER</v>
      </c>
      <c r="DH19" t="str">
        <f t="shared" si="91"/>
        <v>+91-9988001122</v>
      </c>
      <c r="DI19" t="str">
        <f t="shared" si="92"/>
        <v xml:space="preserve">  AUDIO solutions pvt LTD  </v>
      </c>
      <c r="DJ19" t="str">
        <f t="shared" si="93"/>
        <v>https:://audiosolutions.com</v>
      </c>
      <c r="DK19" t="str">
        <f t="shared" si="94"/>
        <v xml:space="preserve">    258  Kowdiar    </v>
      </c>
      <c r="DL19" t="str">
        <f t="shared" si="95"/>
        <v>SWATI.PILLAI</v>
      </c>
      <c r="DM19" t="str">
        <f t="shared" si="96"/>
        <v>swati.PILLAI@  AUDIO solutions pvt LTD  .com</v>
      </c>
      <c r="DN19" t="str">
        <f t="shared" si="97"/>
        <v>swati</v>
      </c>
      <c r="DO19" t="str">
        <f t="shared" si="98"/>
        <v>PILLAI</v>
      </c>
      <c r="DP19" t="str">
        <f t="shared" si="99"/>
        <v>PILLAI,swati</v>
      </c>
      <c r="DQ19" t="str">
        <f t="shared" si="100"/>
        <v>Name has12characters</v>
      </c>
      <c r="DR19" t="str">
        <f t="shared" si="101"/>
        <v>Check Domain</v>
      </c>
      <c r="DS19" t="str">
        <f t="shared" si="102"/>
        <v>+91-</v>
      </c>
      <c r="DT19" t="str">
        <f t="shared" si="103"/>
        <v>Cus018</v>
      </c>
      <c r="DU19" t="str">
        <f t="shared" si="104"/>
        <v>spillai</v>
      </c>
      <c r="DV19" t="str">
        <f t="shared" si="105"/>
        <v>prd018</v>
      </c>
      <c r="DW19" t="str">
        <f t="shared" si="106"/>
        <v>+91-9988001122</v>
      </c>
      <c r="DX19" t="str">
        <f t="shared" si="107"/>
        <v>2024</v>
      </c>
      <c r="DY19" t="str">
        <f t="shared" si="108"/>
        <v>s</v>
      </c>
      <c r="DZ19" t="str">
        <f t="shared" si="109"/>
        <v>swatiPILLAI@  AUDIO solutions pvt LTD  .com</v>
      </c>
      <c r="EA19" t="str">
        <f t="shared" si="110"/>
        <v/>
      </c>
      <c r="EB19" t="str">
        <f t="shared" si="111"/>
        <v>CORPORATE.CO.IN</v>
      </c>
      <c r="EC19">
        <f t="shared" si="112"/>
        <v>17</v>
      </c>
      <c r="ED19" t="str">
        <f t="shared" si="113"/>
        <v>Th18</v>
      </c>
      <c r="EE19" t="str">
        <f t="shared" si="114"/>
        <v>Thiruvananthapuram- KERALA(695003)</v>
      </c>
      <c r="EF19" t="str">
        <f t="shared" si="115"/>
        <v>919988001122</v>
      </c>
      <c r="EG19" t="str">
        <f t="shared" si="116"/>
        <v>CUST-018</v>
      </c>
      <c r="EH19" t="str">
        <f t="shared" si="117"/>
        <v>Private</v>
      </c>
      <c r="EI19" t="str">
        <f t="shared" si="118"/>
        <v>PRD-018-19May24</v>
      </c>
      <c r="EJ19" t="str">
        <f t="shared" si="119"/>
        <v>Corporate</v>
      </c>
    </row>
    <row r="20" spans="1:140" x14ac:dyDescent="0.3">
      <c r="A20" t="s">
        <v>255</v>
      </c>
      <c r="B20" t="s">
        <v>1455</v>
      </c>
      <c r="C20" t="s">
        <v>1456</v>
      </c>
      <c r="D20" t="s">
        <v>256</v>
      </c>
      <c r="E20" t="s">
        <v>257</v>
      </c>
      <c r="F20" t="s">
        <v>258</v>
      </c>
      <c r="G20" t="s">
        <v>259</v>
      </c>
      <c r="H20" t="s">
        <v>1609</v>
      </c>
      <c r="I20" t="s">
        <v>1610</v>
      </c>
      <c r="J20">
        <v>530001</v>
      </c>
      <c r="K20" t="str">
        <f t="shared" si="9"/>
        <v>visakhapatnam, Andhra Pradesh,530001</v>
      </c>
      <c r="L20" t="s">
        <v>260</v>
      </c>
      <c r="M20" t="s">
        <v>261</v>
      </c>
      <c r="N20" t="s">
        <v>262</v>
      </c>
      <c r="O20" t="s">
        <v>36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  <c r="U20" t="str">
        <f t="shared" si="0"/>
        <v>ADITYA RAO</v>
      </c>
      <c r="V20" t="str">
        <f t="shared" si="1"/>
        <v>aditya.rao@email.in</v>
      </c>
      <c r="W20" t="str">
        <f t="shared" si="10"/>
        <v>Visakhapatnam</v>
      </c>
      <c r="X20" t="str">
        <f t="shared" si="2"/>
        <v>aditya RAO</v>
      </c>
      <c r="Y20" t="str">
        <f t="shared" si="11"/>
        <v>WHOLESALE</v>
      </c>
      <c r="Z20" t="str">
        <f t="shared" si="12"/>
        <v>audio paradise</v>
      </c>
      <c r="AA20" t="str">
        <f t="shared" si="13"/>
        <v>Buyer</v>
      </c>
      <c r="AB20" t="str">
        <f t="shared" si="3"/>
        <v>369 Beach Road</v>
      </c>
      <c r="AC20" t="str">
        <f t="shared" si="14"/>
        <v>DEPT-BUY-019</v>
      </c>
      <c r="AD20" t="str">
        <f t="shared" si="15"/>
        <v>Sony Wh-1000Xm5 Headphones</v>
      </c>
      <c r="AE20" t="str">
        <f t="shared" si="16"/>
        <v>www.audio.in</v>
      </c>
      <c r="AF20" t="str">
        <f t="shared" si="17"/>
        <v>Price match request</v>
      </c>
      <c r="AG20" t="str">
        <f t="shared" si="4"/>
        <v>CUST019</v>
      </c>
      <c r="AH20" t="str">
        <f t="shared" si="18"/>
        <v>PRD-HEAD-019</v>
      </c>
      <c r="AI20" t="str">
        <f t="shared" si="5"/>
        <v>Aditya Rao</v>
      </c>
      <c r="AJ20" t="str">
        <f t="shared" si="6"/>
        <v>0891-2468135</v>
      </c>
      <c r="AK20" t="str">
        <f t="shared" si="19"/>
        <v>wholesale</v>
      </c>
      <c r="AL20" t="str">
        <f t="shared" si="20"/>
        <v>Audio Paradise</v>
      </c>
      <c r="AM20" t="str">
        <f t="shared" si="7"/>
        <v>aditya.rao@email.in</v>
      </c>
      <c r="AN20" t="str">
        <f t="shared" si="21"/>
        <v>BUYER</v>
      </c>
      <c r="AO20" t="str">
        <f t="shared" si="8"/>
        <v>CUST019-aditya RAO</v>
      </c>
      <c r="AP20" t="str">
        <f t="shared" si="22"/>
        <v>aditya RAO</v>
      </c>
      <c r="AQ20" t="str">
        <f t="shared" si="23"/>
        <v>visakhapatnam, Andhra Pradesh</v>
      </c>
      <c r="AR20" t="str">
        <f t="shared" si="24"/>
        <v>prd-head-019:sony WH-1000XM5 HEADPHONES</v>
      </c>
      <c r="AS20" t="str">
        <f t="shared" si="25"/>
        <v>aditya.rao@email.in|0891-2468135</v>
      </c>
      <c r="AT20" t="str">
        <f t="shared" si="26"/>
        <v>audio PARADISE-buyer</v>
      </c>
      <c r="AU20" t="str">
        <f t="shared" si="27"/>
        <v>wholesale 26-May-2024</v>
      </c>
      <c r="AV20" t="str">
        <f t="shared" si="28"/>
        <v>369 Beach Road,visakhapatnam, Andhra Pradesh,530001</v>
      </c>
      <c r="AW20" t="str">
        <f t="shared" si="29"/>
        <v>dept-buy-019_buyer</v>
      </c>
      <c r="AX20" t="str">
        <f t="shared" si="30"/>
        <v>Customer ID:CUST019</v>
      </c>
      <c r="AY20" t="str">
        <f t="shared" si="31"/>
        <v>Email:aditya.rao@email.in</v>
      </c>
      <c r="AZ20" t="str">
        <f t="shared" si="32"/>
        <v>WWW.AUDIO.IN/contact</v>
      </c>
      <c r="BA20" t="str">
        <f t="shared" si="33"/>
        <v>Order Placed On 26-May-2024</v>
      </c>
      <c r="BB20" t="str">
        <f t="shared" si="34"/>
        <v>aditya RAO(wholesale)</v>
      </c>
      <c r="BC20" t="str">
        <f t="shared" si="35"/>
        <v>prd-head-019/sony WH-1000XM5 HEADPHONES</v>
      </c>
      <c r="BD20" t="str">
        <f t="shared" si="36"/>
        <v>call 0891-2468135</v>
      </c>
      <c r="BE20" t="str">
        <f t="shared" si="37"/>
        <v>audio PARADISE-dept-buy-019</v>
      </c>
      <c r="BF20" t="str">
        <f t="shared" si="38"/>
        <v>CUST019-19</v>
      </c>
      <c r="BG20" t="str">
        <f t="shared" si="39"/>
        <v>Customer: aditya RAO,Type: wholesale</v>
      </c>
      <c r="BH20" t="str">
        <f t="shared" si="40"/>
        <v>visakhapatnam,india</v>
      </c>
      <c r="BI20" t="str">
        <f t="shared" si="41"/>
        <v>CUST</v>
      </c>
      <c r="BJ20" t="str">
        <f t="shared" si="42"/>
        <v>aditya.rao</v>
      </c>
      <c r="BK20" t="str">
        <f t="shared" si="43"/>
        <v xml:space="preserve">aditya </v>
      </c>
      <c r="BL20" t="str">
        <f t="shared" si="44"/>
        <v>prd-h</v>
      </c>
      <c r="BM20" t="str">
        <f t="shared" si="45"/>
        <v>who</v>
      </c>
      <c r="BN20" t="str">
        <f t="shared" si="46"/>
        <v>0891-246</v>
      </c>
      <c r="BO20" t="str">
        <f t="shared" si="47"/>
        <v>email.in</v>
      </c>
      <c r="BP20" t="str">
        <f t="shared" si="48"/>
        <v>visakhapatnam</v>
      </c>
      <c r="BQ20" t="str">
        <f t="shared" si="49"/>
        <v>T019</v>
      </c>
      <c r="BR20" t="str">
        <f t="shared" si="50"/>
        <v>ya RAO</v>
      </c>
      <c r="BS20" t="str">
        <f t="shared" si="51"/>
        <v>ad-019</v>
      </c>
      <c r="BU20" t="str">
        <f t="shared" si="52"/>
        <v>68135</v>
      </c>
      <c r="BV20" t="str">
        <f t="shared" si="53"/>
        <v>530001</v>
      </c>
      <c r="BW20" t="str">
        <f t="shared" si="54"/>
        <v xml:space="preserve"> Andhra Pradesh</v>
      </c>
      <c r="BX20" t="str">
        <f t="shared" si="55"/>
        <v>019</v>
      </c>
      <c r="BY20" t="str">
        <f t="shared" si="56"/>
        <v>buy</v>
      </c>
      <c r="BZ20" t="str">
        <f t="shared" si="57"/>
        <v>head</v>
      </c>
      <c r="CA20" t="str">
        <f t="shared" si="58"/>
        <v>May</v>
      </c>
      <c r="CB20" t="str">
        <f t="shared" si="59"/>
        <v>dio P</v>
      </c>
      <c r="CC20">
        <f t="shared" si="60"/>
        <v>11</v>
      </c>
      <c r="CD20">
        <f t="shared" si="61"/>
        <v>10</v>
      </c>
      <c r="CE20">
        <f t="shared" si="62"/>
        <v>19</v>
      </c>
      <c r="CF20">
        <f t="shared" si="63"/>
        <v>7</v>
      </c>
      <c r="CG20">
        <f t="shared" si="64"/>
        <v>26</v>
      </c>
      <c r="CH20">
        <f t="shared" si="65"/>
        <v>14</v>
      </c>
      <c r="CI20">
        <f t="shared" si="66"/>
        <v>7</v>
      </c>
      <c r="CJ20" t="str">
        <f t="shared" si="67"/>
        <v>Not found</v>
      </c>
      <c r="CK20">
        <f t="shared" si="68"/>
        <v>12</v>
      </c>
      <c r="CL20">
        <f t="shared" si="69"/>
        <v>4</v>
      </c>
      <c r="CM20">
        <f t="shared" si="70"/>
        <v>14</v>
      </c>
      <c r="CN20">
        <f t="shared" si="71"/>
        <v>7</v>
      </c>
      <c r="CO20">
        <f t="shared" si="72"/>
        <v>14</v>
      </c>
      <c r="CP20">
        <f t="shared" si="73"/>
        <v>9</v>
      </c>
      <c r="CQ20">
        <f t="shared" si="74"/>
        <v>12</v>
      </c>
      <c r="CR20" t="str">
        <f t="shared" si="75"/>
        <v>not found</v>
      </c>
      <c r="CS20">
        <f t="shared" si="76"/>
        <v>9</v>
      </c>
      <c r="CT20">
        <f t="shared" si="77"/>
        <v>9</v>
      </c>
      <c r="CU20">
        <f t="shared" si="78"/>
        <v>23</v>
      </c>
      <c r="CV20">
        <f t="shared" si="79"/>
        <v>3</v>
      </c>
      <c r="CW20" t="str">
        <f t="shared" si="80"/>
        <v>Customer ID019</v>
      </c>
      <c r="CX20" t="str">
        <f t="shared" si="81"/>
        <v>aditya.rao[AT]email.in</v>
      </c>
      <c r="CY20" t="str">
        <f t="shared" si="82"/>
        <v>Product-HEAD-019</v>
      </c>
      <c r="CZ20" t="str">
        <f t="shared" si="83"/>
        <v>prd_head_019</v>
      </c>
      <c r="DA20" t="str">
        <f t="shared" si="84"/>
        <v>DEPARTMENT-BUY-019</v>
      </c>
      <c r="DB20" t="str">
        <f t="shared" si="85"/>
        <v>ADITYA.RAO@EMAIL.IN</v>
      </c>
      <c r="DC20" t="str">
        <f t="shared" si="86"/>
        <v>https://www..AUDIO.IN</v>
      </c>
      <c r="DD20" t="str">
        <f t="shared" si="87"/>
        <v>aditya/RAO</v>
      </c>
      <c r="DE20" t="str">
        <f t="shared" si="88"/>
        <v>wholesale</v>
      </c>
      <c r="DF20" t="str">
        <f t="shared" si="89"/>
        <v>visakhapatnam; Andhra Pradesh;530001</v>
      </c>
      <c r="DG20" t="str">
        <f t="shared" si="90"/>
        <v>buyer</v>
      </c>
      <c r="DH20" t="str">
        <f t="shared" si="91"/>
        <v>0891-2468135</v>
      </c>
      <c r="DI20" t="str">
        <f t="shared" si="92"/>
        <v>audio PARADISE</v>
      </c>
      <c r="DJ20" t="str">
        <f t="shared" si="93"/>
        <v>WWW.AUDIO.IN</v>
      </c>
      <c r="DK20" t="str">
        <f t="shared" si="94"/>
        <v>369  Beach  Road</v>
      </c>
      <c r="DL20" t="str">
        <f t="shared" si="95"/>
        <v>aditya.rao</v>
      </c>
      <c r="DM20" t="str">
        <f t="shared" si="96"/>
        <v>aditya.RAO@audio PARADISE.com</v>
      </c>
      <c r="DN20" t="str">
        <f t="shared" si="97"/>
        <v>aditya</v>
      </c>
      <c r="DO20" t="str">
        <f t="shared" si="98"/>
        <v>RAO</v>
      </c>
      <c r="DP20" t="str">
        <f t="shared" si="99"/>
        <v>RAO,aditya</v>
      </c>
      <c r="DQ20" t="str">
        <f t="shared" si="100"/>
        <v>Name has10characters</v>
      </c>
      <c r="DR20" t="str">
        <f t="shared" si="101"/>
        <v>Check Domain</v>
      </c>
      <c r="DS20" t="str">
        <f t="shared" si="102"/>
        <v>0891</v>
      </c>
      <c r="DT20" t="str">
        <f t="shared" si="103"/>
        <v>CUS019</v>
      </c>
      <c r="DU20" t="str">
        <f t="shared" si="104"/>
        <v>arao</v>
      </c>
      <c r="DV20" t="str">
        <f t="shared" si="105"/>
        <v>prd019</v>
      </c>
      <c r="DW20" t="str">
        <f t="shared" si="106"/>
        <v>0891-2468135</v>
      </c>
      <c r="DX20" t="str">
        <f t="shared" si="107"/>
        <v>2024</v>
      </c>
      <c r="DY20" t="str">
        <f t="shared" si="108"/>
        <v>a</v>
      </c>
      <c r="DZ20" t="str">
        <f t="shared" si="109"/>
        <v>adityaRAO@audio PARADISE.com</v>
      </c>
      <c r="EA20" t="str">
        <f t="shared" si="110"/>
        <v>Wholesale</v>
      </c>
      <c r="EB20" t="str">
        <f t="shared" si="111"/>
        <v>email.in</v>
      </c>
      <c r="EC20">
        <f t="shared" si="112"/>
        <v>26</v>
      </c>
      <c r="ED20" t="str">
        <f t="shared" si="113"/>
        <v>vi19</v>
      </c>
      <c r="EE20" t="str">
        <f t="shared" si="114"/>
        <v>visakhapatnam- Andhra Pradesh(530001)</v>
      </c>
      <c r="EF20" t="str">
        <f t="shared" si="115"/>
        <v>08912468135</v>
      </c>
      <c r="EG20" t="str">
        <f t="shared" si="116"/>
        <v>CUST-019</v>
      </c>
      <c r="EH20" t="str">
        <f t="shared" si="117"/>
        <v>public</v>
      </c>
      <c r="EI20" t="str">
        <f t="shared" si="118"/>
        <v>PRD-019-26May24</v>
      </c>
      <c r="EJ20" t="str">
        <f t="shared" si="119"/>
        <v>Wholesale</v>
      </c>
    </row>
    <row r="21" spans="1:140" x14ac:dyDescent="0.3">
      <c r="A21" t="s">
        <v>268</v>
      </c>
      <c r="B21" t="s">
        <v>1457</v>
      </c>
      <c r="C21" t="s">
        <v>1458</v>
      </c>
      <c r="D21" t="s">
        <v>269</v>
      </c>
      <c r="E21" t="s">
        <v>270</v>
      </c>
      <c r="F21" t="s">
        <v>271</v>
      </c>
      <c r="G21" t="s">
        <v>272</v>
      </c>
      <c r="H21" t="s">
        <v>1611</v>
      </c>
      <c r="I21" t="s">
        <v>1577</v>
      </c>
      <c r="J21">
        <v>440010</v>
      </c>
      <c r="K21" t="str">
        <f t="shared" si="9"/>
        <v>NAGPUR, Maharashtra,440010</v>
      </c>
      <c r="L21" t="s">
        <v>273</v>
      </c>
      <c r="M21" t="s">
        <v>274</v>
      </c>
      <c r="N21" t="s">
        <v>275</v>
      </c>
      <c r="O21" t="s">
        <v>50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  <c r="U21" t="str">
        <f t="shared" si="0"/>
        <v xml:space="preserve">  MEGHA KULKARNI</v>
      </c>
      <c r="V21" t="str">
        <f t="shared" si="1"/>
        <v>megha_kulkarni@mail.com</v>
      </c>
      <c r="W21" t="str">
        <f t="shared" si="10"/>
        <v>Nagpur</v>
      </c>
      <c r="X21" t="str">
        <f t="shared" si="2"/>
        <v>MEGHA kulkarni</v>
      </c>
      <c r="Y21" t="str">
        <f t="shared" si="11"/>
        <v>RETAIL</v>
      </c>
      <c r="Z21" t="str">
        <f t="shared" si="12"/>
        <v>recording studio gear</v>
      </c>
      <c r="AA21" t="str">
        <f t="shared" si="13"/>
        <v>Content Creator</v>
      </c>
      <c r="AB21" t="str">
        <f t="shared" si="3"/>
        <v>741 Dharampeth</v>
      </c>
      <c r="AC21" t="str">
        <f t="shared" si="14"/>
        <v>DEPT-MEDIA-020</v>
      </c>
      <c r="AD21" t="str">
        <f t="shared" si="15"/>
        <v>Blue Yeti Usb Microphone</v>
      </c>
      <c r="AE21" t="str">
        <f t="shared" si="16"/>
        <v>www.recordingstudio.in</v>
      </c>
      <c r="AF21" t="str">
        <f t="shared" si="17"/>
        <v>Warranty details needed</v>
      </c>
      <c r="AG21" t="str">
        <f t="shared" si="4"/>
        <v>CUST020</v>
      </c>
      <c r="AH21" t="str">
        <f t="shared" si="18"/>
        <v>PRD-MIC-020</v>
      </c>
      <c r="AI21" t="str">
        <f t="shared" si="5"/>
        <v xml:space="preserve">  Megha Kulkarni</v>
      </c>
      <c r="AJ21" t="str">
        <f t="shared" si="6"/>
        <v>(0712) 3698-5274</v>
      </c>
      <c r="AK21" t="str">
        <f t="shared" si="19"/>
        <v>retail</v>
      </c>
      <c r="AL21" t="str">
        <f t="shared" si="20"/>
        <v>Recording Studio Gear</v>
      </c>
      <c r="AM21" t="str">
        <f t="shared" si="7"/>
        <v>megha_kulkarni@mail.com</v>
      </c>
      <c r="AN21" t="str">
        <f t="shared" si="21"/>
        <v>CONTENT CREATOR</v>
      </c>
      <c r="AO21" t="str">
        <f t="shared" si="8"/>
        <v>cust020-  MEGHA kulkarni</v>
      </c>
      <c r="AP21" t="str">
        <f t="shared" si="22"/>
        <v>MEGHA kulkarni</v>
      </c>
      <c r="AQ21" t="str">
        <f t="shared" si="23"/>
        <v>NAGPUR, Maharashtra</v>
      </c>
      <c r="AR21" t="str">
        <f t="shared" si="24"/>
        <v>PRD-MIC-020:blue YETI usb microphone</v>
      </c>
      <c r="AS21" t="str">
        <f t="shared" si="25"/>
        <v>megha_kulkarni@mail.com|(0712) 3698-5274</v>
      </c>
      <c r="AT21" t="str">
        <f t="shared" si="26"/>
        <v>RECORDING studio gear-content CREATOR</v>
      </c>
      <c r="AU21" t="str">
        <f t="shared" si="27"/>
        <v>Retail 02-Jun-2024</v>
      </c>
      <c r="AV21" t="str">
        <f t="shared" si="28"/>
        <v xml:space="preserve">  741 Dharampeth  ,NAGPUR, Maharashtra,440010</v>
      </c>
      <c r="AW21" t="str">
        <f t="shared" si="29"/>
        <v>DEPT-MEDIA-020_content CREATOR</v>
      </c>
      <c r="AX21" t="str">
        <f t="shared" si="30"/>
        <v>Customer ID:cust020</v>
      </c>
      <c r="AY21" t="str">
        <f t="shared" si="31"/>
        <v>Email:megha_kulkarni@mail.com</v>
      </c>
      <c r="AZ21" t="str">
        <f t="shared" si="32"/>
        <v>www.recordingstudio.in/contact</v>
      </c>
      <c r="BA21" t="str">
        <f t="shared" si="33"/>
        <v>Order Placed On 02-Jun-2024</v>
      </c>
      <c r="BB21" t="str">
        <f t="shared" si="34"/>
        <v xml:space="preserve">  MEGHA kulkarni(Retail)</v>
      </c>
      <c r="BC21" t="str">
        <f t="shared" si="35"/>
        <v>PRD-MIC-020/blue YETI usb microphone</v>
      </c>
      <c r="BD21" t="str">
        <f t="shared" si="36"/>
        <v>call (0712) 3698-5274</v>
      </c>
      <c r="BE21" t="str">
        <f t="shared" si="37"/>
        <v>RECORDING studio gear-DEPT-MEDIA-020</v>
      </c>
      <c r="BF21" t="str">
        <f t="shared" si="38"/>
        <v>cust020-20</v>
      </c>
      <c r="BG21" t="str">
        <f t="shared" si="39"/>
        <v>Customer:   MEGHA kulkarni,Type: Retail</v>
      </c>
      <c r="BH21" t="str">
        <f t="shared" si="40"/>
        <v>NAGPUR,india</v>
      </c>
      <c r="BI21" t="str">
        <f t="shared" si="41"/>
        <v>cust</v>
      </c>
      <c r="BJ21" t="str">
        <f t="shared" si="42"/>
        <v>megha_kulk</v>
      </c>
      <c r="BK21" t="str">
        <f t="shared" si="43"/>
        <v xml:space="preserve">MEGHA </v>
      </c>
      <c r="BL21" t="str">
        <f t="shared" si="44"/>
        <v>PRD-M</v>
      </c>
      <c r="BM21" t="str">
        <f t="shared" si="45"/>
        <v>Ret</v>
      </c>
      <c r="BN21" t="str">
        <f t="shared" si="46"/>
        <v>(0712) 3</v>
      </c>
      <c r="BO21" t="str">
        <f t="shared" si="47"/>
        <v>mail.com</v>
      </c>
      <c r="BP21" t="str">
        <f t="shared" si="48"/>
        <v>NAGPUR</v>
      </c>
      <c r="BQ21" t="str">
        <f t="shared" si="49"/>
        <v>t020</v>
      </c>
      <c r="BR21" t="str">
        <f t="shared" si="50"/>
        <v>karni</v>
      </c>
      <c r="BS21" t="str">
        <f t="shared" si="51"/>
        <v>IC-020</v>
      </c>
      <c r="BU21" t="str">
        <f t="shared" si="52"/>
        <v>-5274</v>
      </c>
      <c r="BV21" t="str">
        <f t="shared" si="53"/>
        <v>440010</v>
      </c>
      <c r="BW21" t="str">
        <f t="shared" si="54"/>
        <v xml:space="preserve"> Maharashtra</v>
      </c>
      <c r="BX21" t="str">
        <f t="shared" si="55"/>
        <v>020</v>
      </c>
      <c r="BY21" t="str">
        <f t="shared" si="56"/>
        <v>MEDIA</v>
      </c>
      <c r="BZ21" t="str">
        <f t="shared" si="57"/>
        <v>MIC</v>
      </c>
      <c r="CA21" t="str">
        <f t="shared" si="58"/>
        <v>Jun</v>
      </c>
      <c r="CB21" t="str">
        <f t="shared" si="59"/>
        <v>CORDI</v>
      </c>
      <c r="CC21">
        <f t="shared" si="60"/>
        <v>15</v>
      </c>
      <c r="CD21">
        <f t="shared" si="61"/>
        <v>16</v>
      </c>
      <c r="CE21">
        <f t="shared" si="62"/>
        <v>23</v>
      </c>
      <c r="CF21">
        <f t="shared" si="63"/>
        <v>1</v>
      </c>
      <c r="CG21">
        <f t="shared" si="64"/>
        <v>24</v>
      </c>
      <c r="CH21">
        <f t="shared" si="65"/>
        <v>7</v>
      </c>
      <c r="CI21">
        <f t="shared" si="66"/>
        <v>7</v>
      </c>
      <c r="CJ21">
        <f t="shared" si="67"/>
        <v>1</v>
      </c>
      <c r="CK21">
        <f t="shared" si="68"/>
        <v>16</v>
      </c>
      <c r="CL21">
        <f t="shared" si="69"/>
        <v>4</v>
      </c>
      <c r="CM21">
        <f t="shared" si="70"/>
        <v>18</v>
      </c>
      <c r="CN21">
        <f t="shared" si="71"/>
        <v>20</v>
      </c>
      <c r="CO21">
        <f t="shared" si="72"/>
        <v>21</v>
      </c>
      <c r="CP21">
        <f t="shared" si="73"/>
        <v>8</v>
      </c>
      <c r="CQ21">
        <f t="shared" si="74"/>
        <v>14</v>
      </c>
      <c r="CR21" t="str">
        <f t="shared" si="75"/>
        <v>not found</v>
      </c>
      <c r="CS21">
        <f t="shared" si="76"/>
        <v>6</v>
      </c>
      <c r="CT21">
        <f t="shared" si="77"/>
        <v>8</v>
      </c>
      <c r="CU21">
        <f t="shared" si="78"/>
        <v>23</v>
      </c>
      <c r="CV21">
        <f t="shared" si="79"/>
        <v>3</v>
      </c>
      <c r="CW21" t="str">
        <f t="shared" si="80"/>
        <v>Customer ID020</v>
      </c>
      <c r="CX21" t="str">
        <f t="shared" si="81"/>
        <v>megha_kulkarni[AT]mail.com</v>
      </c>
      <c r="CY21" t="str">
        <f t="shared" si="82"/>
        <v>Product-MIC-020</v>
      </c>
      <c r="CZ21" t="str">
        <f t="shared" si="83"/>
        <v>PRD_MIC_020</v>
      </c>
      <c r="DA21" t="str">
        <f t="shared" si="84"/>
        <v>DEPARTMENT-MEDIA-020</v>
      </c>
      <c r="DB21" t="str">
        <f t="shared" si="85"/>
        <v>MEGHA_KULKARNI@MAIL.in</v>
      </c>
      <c r="DC21" t="str">
        <f t="shared" si="86"/>
        <v>https://www..RECORDINGSTUDIO.IN</v>
      </c>
      <c r="DD21" t="str">
        <f t="shared" si="87"/>
        <v>//MEGHA/kulkarni</v>
      </c>
      <c r="DE21" t="str">
        <f t="shared" si="88"/>
        <v>Retail</v>
      </c>
      <c r="DF21" t="str">
        <f t="shared" si="89"/>
        <v>NAGPUR; Maharashtra;440010</v>
      </c>
      <c r="DG21" t="str">
        <f t="shared" si="90"/>
        <v>content CREATOR</v>
      </c>
      <c r="DH21" t="str">
        <f t="shared" si="91"/>
        <v xml:space="preserve"> 0712  3698-5274</v>
      </c>
      <c r="DI21" t="str">
        <f t="shared" si="92"/>
        <v>RECORDING studio gear</v>
      </c>
      <c r="DJ21" t="str">
        <f t="shared" si="93"/>
        <v>www.recordingstudio.in</v>
      </c>
      <c r="DK21" t="str">
        <f t="shared" si="94"/>
        <v xml:space="preserve">    741  Dharampeth    </v>
      </c>
      <c r="DL21" t="str">
        <f t="shared" si="95"/>
        <v>megha_kulkarni</v>
      </c>
      <c r="DM21" t="str">
        <f t="shared" si="96"/>
        <v>MEGHA.kulkarni@RECORDING studio gear.com</v>
      </c>
      <c r="DN21" t="str">
        <f t="shared" si="97"/>
        <v>MEGHA</v>
      </c>
      <c r="DO21" t="str">
        <f t="shared" si="98"/>
        <v>kulkarni</v>
      </c>
      <c r="DP21" t="str">
        <f t="shared" si="99"/>
        <v>kulkarni,MEGHA</v>
      </c>
      <c r="DQ21" t="str">
        <f t="shared" si="100"/>
        <v>Name has14characters</v>
      </c>
      <c r="DR21" t="str">
        <f t="shared" si="101"/>
        <v>Valid</v>
      </c>
      <c r="DS21" t="str">
        <f t="shared" si="102"/>
        <v>(071</v>
      </c>
      <c r="DT21" t="str">
        <f t="shared" si="103"/>
        <v>cus020</v>
      </c>
      <c r="DU21" t="str">
        <f t="shared" si="104"/>
        <v>Mkulkarni</v>
      </c>
      <c r="DV21" t="str">
        <f t="shared" si="105"/>
        <v>PRD020</v>
      </c>
      <c r="DW21" t="str">
        <f t="shared" si="106"/>
        <v>(0712) 3698-5274</v>
      </c>
      <c r="DX21" t="str">
        <f t="shared" si="107"/>
        <v>2024</v>
      </c>
      <c r="DY21" t="str">
        <f t="shared" si="108"/>
        <v>M</v>
      </c>
      <c r="DZ21" t="str">
        <f t="shared" si="109"/>
        <v>MEGHAkulkarni@RECORDING studio gear.com</v>
      </c>
      <c r="EA21" t="str">
        <f t="shared" si="110"/>
        <v>Retail</v>
      </c>
      <c r="EB21" t="str">
        <f t="shared" si="111"/>
        <v>mail.com</v>
      </c>
      <c r="EC21">
        <f t="shared" si="112"/>
        <v>24</v>
      </c>
      <c r="ED21" t="str">
        <f t="shared" si="113"/>
        <v>NA20</v>
      </c>
      <c r="EE21" t="str">
        <f t="shared" si="114"/>
        <v>NAGPUR- Maharashtra(440010)</v>
      </c>
      <c r="EF21" t="str">
        <f t="shared" si="115"/>
        <v>071236985274</v>
      </c>
      <c r="EG21" t="str">
        <f t="shared" si="116"/>
        <v>CUST-020</v>
      </c>
      <c r="EH21" t="str">
        <f t="shared" si="117"/>
        <v>public</v>
      </c>
      <c r="EI21" t="str">
        <f t="shared" si="118"/>
        <v>PRD-020-02Jun24</v>
      </c>
      <c r="EJ21" t="str">
        <f t="shared" si="119"/>
        <v>Retail</v>
      </c>
    </row>
    <row r="22" spans="1:140" x14ac:dyDescent="0.3">
      <c r="A22" t="s">
        <v>281</v>
      </c>
      <c r="B22" t="s">
        <v>1459</v>
      </c>
      <c r="C22" t="s">
        <v>1460</v>
      </c>
      <c r="D22" t="s">
        <v>282</v>
      </c>
      <c r="E22" t="s">
        <v>283</v>
      </c>
      <c r="F22" t="s">
        <v>284</v>
      </c>
      <c r="G22" t="s">
        <v>285</v>
      </c>
      <c r="H22" t="s">
        <v>1612</v>
      </c>
      <c r="I22" t="s">
        <v>1613</v>
      </c>
      <c r="J22">
        <v>452001</v>
      </c>
      <c r="K22" t="str">
        <f t="shared" si="9"/>
        <v>Indore, MADHYA PRADESH,452001</v>
      </c>
      <c r="L22" t="s">
        <v>286</v>
      </c>
      <c r="M22" t="s">
        <v>287</v>
      </c>
      <c r="N22" t="s">
        <v>288</v>
      </c>
      <c r="O22" t="s">
        <v>64</v>
      </c>
      <c r="P22" t="s">
        <v>289</v>
      </c>
      <c r="Q22" t="s">
        <v>290</v>
      </c>
      <c r="R22" t="s">
        <v>291</v>
      </c>
      <c r="S22" t="s">
        <v>292</v>
      </c>
      <c r="T22" t="s">
        <v>293</v>
      </c>
      <c r="U22" t="str">
        <f t="shared" si="0"/>
        <v xml:space="preserve">VISHAL CHAUHAN  </v>
      </c>
      <c r="V22" t="str">
        <f t="shared" si="1"/>
        <v>vishal.chauhan@company.com</v>
      </c>
      <c r="W22" t="str">
        <f t="shared" si="10"/>
        <v>Indore</v>
      </c>
      <c r="X22" t="str">
        <f t="shared" si="2"/>
        <v>vishal CHAUHAN</v>
      </c>
      <c r="Y22" t="str">
        <f t="shared" si="11"/>
        <v>CORPORATE</v>
      </c>
      <c r="Z22" t="str">
        <f t="shared" si="12"/>
        <v xml:space="preserve">  video conference solutions  </v>
      </c>
      <c r="AA22" t="str">
        <f t="shared" si="13"/>
        <v>It Manager</v>
      </c>
      <c r="AB22" t="str">
        <f t="shared" si="3"/>
        <v>852 Rajwada</v>
      </c>
      <c r="AC22" t="str">
        <f t="shared" si="14"/>
        <v>DEPT-IT-021</v>
      </c>
      <c r="AD22" t="str">
        <f t="shared" si="15"/>
        <v>Logitech C930E Webcam</v>
      </c>
      <c r="AE22" t="str">
        <f t="shared" si="16"/>
        <v>https://www.videoconf.in</v>
      </c>
      <c r="AF22" t="str">
        <f t="shared" si="17"/>
        <v>Setup assistance required</v>
      </c>
      <c r="AG22" t="str">
        <f t="shared" si="4"/>
        <v>CUST021</v>
      </c>
      <c r="AH22" t="str">
        <f t="shared" si="18"/>
        <v>PRD-WEB-021</v>
      </c>
      <c r="AI22" t="str">
        <f t="shared" si="5"/>
        <v xml:space="preserve">Vishal Chauhan  </v>
      </c>
      <c r="AJ22" t="str">
        <f t="shared" si="6"/>
        <v>+91-9845123450</v>
      </c>
      <c r="AK22" t="str">
        <f t="shared" si="19"/>
        <v>corporate</v>
      </c>
      <c r="AL22" t="str">
        <f t="shared" si="20"/>
        <v>Video Conference Solutions</v>
      </c>
      <c r="AM22" t="str">
        <f t="shared" si="7"/>
        <v>vishal.chauhan@company.com</v>
      </c>
      <c r="AN22" t="str">
        <f t="shared" si="21"/>
        <v>IT MANAGER</v>
      </c>
      <c r="AO22" t="str">
        <f t="shared" si="8"/>
        <v xml:space="preserve">Cust021-vishal CHAUHAN  </v>
      </c>
      <c r="AP22" t="str">
        <f t="shared" si="22"/>
        <v>vishal CHAUHAN</v>
      </c>
      <c r="AQ22" t="str">
        <f t="shared" si="23"/>
        <v>Indore, MADHYA PRADESH</v>
      </c>
      <c r="AR22" t="str">
        <f t="shared" si="24"/>
        <v>prd-web-021:LOGITECH c930e webcam</v>
      </c>
      <c r="AS22" t="str">
        <f t="shared" si="25"/>
        <v>VISHAL.CHAUHAN@COMPANY.COM|+91-9845123450</v>
      </c>
      <c r="AT22" t="str">
        <f t="shared" si="26"/>
        <v xml:space="preserve">  video CONFERENCE solutions  -IT MANAGER</v>
      </c>
      <c r="AU22" t="str">
        <f t="shared" si="27"/>
        <v>CORPORATE 09-Jun-2024</v>
      </c>
      <c r="AV22" t="str">
        <f t="shared" si="28"/>
        <v>852 Rajwada,Indore, MADHYA PRADESH,452001</v>
      </c>
      <c r="AW22" t="str">
        <f t="shared" si="29"/>
        <v>dept-it-021_IT MANAGER</v>
      </c>
      <c r="AX22" t="str">
        <f t="shared" si="30"/>
        <v>Customer ID:Cust021</v>
      </c>
      <c r="AY22" t="str">
        <f t="shared" si="31"/>
        <v>Email:VISHAL.CHAUHAN@COMPANY.COM</v>
      </c>
      <c r="AZ22" t="str">
        <f t="shared" si="32"/>
        <v>https://www.videoconf.in/contact</v>
      </c>
      <c r="BA22" t="str">
        <f t="shared" si="33"/>
        <v>Order Placed On 09-Jun-2024</v>
      </c>
      <c r="BB22" t="str">
        <f t="shared" si="34"/>
        <v>vishal CHAUHAN  (CORPORATE)</v>
      </c>
      <c r="BC22" t="str">
        <f t="shared" si="35"/>
        <v>prd-web-021/LOGITECH c930e webcam</v>
      </c>
      <c r="BD22" t="str">
        <f t="shared" si="36"/>
        <v>call +91-9845123450</v>
      </c>
      <c r="BE22" t="str">
        <f t="shared" si="37"/>
        <v xml:space="preserve">  video CONFERENCE solutions  -dept-it-021</v>
      </c>
      <c r="BF22" t="str">
        <f t="shared" si="38"/>
        <v>Cust021-21</v>
      </c>
      <c r="BG22" t="str">
        <f t="shared" si="39"/>
        <v>Customer: vishal CHAUHAN  ,Type: CORPORATE</v>
      </c>
      <c r="BH22" t="str">
        <f t="shared" si="40"/>
        <v>Indore,india</v>
      </c>
      <c r="BI22" t="str">
        <f t="shared" si="41"/>
        <v>Cust</v>
      </c>
      <c r="BJ22" t="str">
        <f t="shared" si="42"/>
        <v>VISHAL.CHA</v>
      </c>
      <c r="BK22" t="str">
        <f t="shared" si="43"/>
        <v xml:space="preserve">vishal </v>
      </c>
      <c r="BL22" t="str">
        <f t="shared" si="44"/>
        <v>prd-w</v>
      </c>
      <c r="BM22" t="str">
        <f t="shared" si="45"/>
        <v>COR</v>
      </c>
      <c r="BN22" t="str">
        <f t="shared" si="46"/>
        <v>+91-9845</v>
      </c>
      <c r="BO22" t="str">
        <f t="shared" si="47"/>
        <v>COMPANY.COM</v>
      </c>
      <c r="BP22" t="str">
        <f t="shared" si="48"/>
        <v>Indore</v>
      </c>
      <c r="BQ22" t="str">
        <f t="shared" si="49"/>
        <v>t021</v>
      </c>
      <c r="BR22" t="str">
        <f t="shared" si="50"/>
        <v>HAUHAN</v>
      </c>
      <c r="BS22" t="str">
        <f t="shared" si="51"/>
        <v>eb-021</v>
      </c>
      <c r="BU22" t="str">
        <f t="shared" si="52"/>
        <v>23450</v>
      </c>
      <c r="BV22" t="str">
        <f t="shared" si="53"/>
        <v>452001</v>
      </c>
      <c r="BW22" t="str">
        <f t="shared" si="54"/>
        <v xml:space="preserve"> MADHYA PRADESH</v>
      </c>
      <c r="BX22" t="str">
        <f t="shared" si="55"/>
        <v>021</v>
      </c>
      <c r="BY22" t="str">
        <f t="shared" si="56"/>
        <v>it</v>
      </c>
      <c r="BZ22" t="str">
        <f t="shared" si="57"/>
        <v>web</v>
      </c>
      <c r="CA22" t="str">
        <f t="shared" si="58"/>
        <v>Jun</v>
      </c>
      <c r="CB22" t="str">
        <f t="shared" si="59"/>
        <v>video</v>
      </c>
      <c r="CC22">
        <f t="shared" si="60"/>
        <v>15</v>
      </c>
      <c r="CD22">
        <f t="shared" si="61"/>
        <v>16</v>
      </c>
      <c r="CE22">
        <f t="shared" si="62"/>
        <v>26</v>
      </c>
      <c r="CF22">
        <f t="shared" si="63"/>
        <v>7</v>
      </c>
      <c r="CG22">
        <f t="shared" si="64"/>
        <v>21</v>
      </c>
      <c r="CH22">
        <f t="shared" si="65"/>
        <v>7</v>
      </c>
      <c r="CI22">
        <f t="shared" si="66"/>
        <v>7</v>
      </c>
      <c r="CJ22">
        <f t="shared" si="67"/>
        <v>9</v>
      </c>
      <c r="CK22">
        <f t="shared" si="68"/>
        <v>14</v>
      </c>
      <c r="CL22">
        <f t="shared" si="69"/>
        <v>4</v>
      </c>
      <c r="CM22">
        <f t="shared" si="70"/>
        <v>11</v>
      </c>
      <c r="CN22">
        <f t="shared" si="71"/>
        <v>7</v>
      </c>
      <c r="CO22">
        <f t="shared" si="72"/>
        <v>26</v>
      </c>
      <c r="CP22">
        <f t="shared" si="73"/>
        <v>8</v>
      </c>
      <c r="CQ22">
        <f t="shared" si="74"/>
        <v>11</v>
      </c>
      <c r="CR22">
        <f t="shared" si="75"/>
        <v>7</v>
      </c>
      <c r="CS22">
        <f t="shared" si="76"/>
        <v>9</v>
      </c>
      <c r="CT22">
        <f t="shared" si="77"/>
        <v>8</v>
      </c>
      <c r="CU22">
        <f t="shared" si="78"/>
        <v>25</v>
      </c>
      <c r="CV22">
        <f t="shared" si="79"/>
        <v>3</v>
      </c>
      <c r="CW22" t="str">
        <f t="shared" si="80"/>
        <v>Customer ID021</v>
      </c>
      <c r="CX22" t="str">
        <f t="shared" si="81"/>
        <v>VISHAL.CHAUHAN[AT]COMPANY.COM</v>
      </c>
      <c r="CY22" t="str">
        <f t="shared" si="82"/>
        <v>Product-WEB-021</v>
      </c>
      <c r="CZ22" t="str">
        <f t="shared" si="83"/>
        <v>prd_web_021</v>
      </c>
      <c r="DA22" t="str">
        <f t="shared" si="84"/>
        <v>DEPARTMENT-IT-021</v>
      </c>
      <c r="DB22" t="str">
        <f t="shared" si="85"/>
        <v>VISHAL.CHAUHAN@COMPANY.in</v>
      </c>
      <c r="DC22" t="str">
        <f t="shared" si="86"/>
        <v>HTTPS://https://www..VIDEOCONF.IN</v>
      </c>
      <c r="DD22" t="str">
        <f t="shared" si="87"/>
        <v>vishal/CHAUHAN//</v>
      </c>
      <c r="DE22" t="str">
        <f t="shared" si="88"/>
        <v>CORPORATE</v>
      </c>
      <c r="DF22" t="str">
        <f t="shared" si="89"/>
        <v>Indore; MADHYA PRADESH;452001</v>
      </c>
      <c r="DG22" t="str">
        <f t="shared" si="90"/>
        <v>IT MANAGER</v>
      </c>
      <c r="DH22" t="str">
        <f t="shared" si="91"/>
        <v>+91-9845123450</v>
      </c>
      <c r="DI22" t="str">
        <f t="shared" si="92"/>
        <v xml:space="preserve">  video CONFERENCE solutions  </v>
      </c>
      <c r="DJ22" t="str">
        <f t="shared" si="93"/>
        <v>https:://www.videoconf.in</v>
      </c>
      <c r="DK22" t="str">
        <f t="shared" si="94"/>
        <v>852  Rajwada</v>
      </c>
      <c r="DL22" t="str">
        <f t="shared" si="95"/>
        <v>VISHAL.CHAUHAN</v>
      </c>
      <c r="DM22" t="str">
        <f t="shared" si="96"/>
        <v>vishal.CHAUHAN@  video CONFERENCE solutions  .com</v>
      </c>
      <c r="DN22" t="str">
        <f t="shared" si="97"/>
        <v>vishal</v>
      </c>
      <c r="DO22" t="str">
        <f t="shared" si="98"/>
        <v>CHAUHAN</v>
      </c>
      <c r="DP22" t="str">
        <f t="shared" si="99"/>
        <v>CHAUHAN,vishal</v>
      </c>
      <c r="DQ22" t="str">
        <f t="shared" si="100"/>
        <v>Name has14characters</v>
      </c>
      <c r="DR22" t="str">
        <f t="shared" si="101"/>
        <v>Valid</v>
      </c>
      <c r="DS22" t="str">
        <f t="shared" si="102"/>
        <v>+91-</v>
      </c>
      <c r="DT22" t="str">
        <f t="shared" si="103"/>
        <v>Cus021</v>
      </c>
      <c r="DU22" t="str">
        <f t="shared" si="104"/>
        <v>vchauhan</v>
      </c>
      <c r="DV22" t="str">
        <f t="shared" si="105"/>
        <v>prd021</v>
      </c>
      <c r="DW22" t="str">
        <f t="shared" si="106"/>
        <v>+91-9845123450</v>
      </c>
      <c r="DX22" t="str">
        <f t="shared" si="107"/>
        <v>2024</v>
      </c>
      <c r="DY22" t="str">
        <f t="shared" si="108"/>
        <v>v</v>
      </c>
      <c r="DZ22" t="str">
        <f t="shared" si="109"/>
        <v>vishalCHAUHAN@  video CONFERENCE solutions  .com</v>
      </c>
      <c r="EA22" t="str">
        <f t="shared" si="110"/>
        <v/>
      </c>
      <c r="EB22" t="str">
        <f t="shared" si="111"/>
        <v>COMPANY.COM</v>
      </c>
      <c r="EC22">
        <f t="shared" si="112"/>
        <v>21</v>
      </c>
      <c r="ED22" t="str">
        <f t="shared" si="113"/>
        <v>In21</v>
      </c>
      <c r="EE22" t="str">
        <f t="shared" si="114"/>
        <v>Indore- MADHYA PRADESH(452001)</v>
      </c>
      <c r="EF22" t="str">
        <f t="shared" si="115"/>
        <v>919845123450</v>
      </c>
      <c r="EG22" t="str">
        <f t="shared" si="116"/>
        <v>CUST-021</v>
      </c>
      <c r="EH22" t="str">
        <f t="shared" si="117"/>
        <v>public</v>
      </c>
      <c r="EI22" t="str">
        <f t="shared" si="118"/>
        <v>PRD-021-09Jun24</v>
      </c>
      <c r="EJ22" t="str">
        <f t="shared" si="119"/>
        <v>Corporate</v>
      </c>
    </row>
    <row r="23" spans="1:140" x14ac:dyDescent="0.3">
      <c r="A23" t="s">
        <v>294</v>
      </c>
      <c r="B23" t="s">
        <v>1461</v>
      </c>
      <c r="C23" t="s">
        <v>1462</v>
      </c>
      <c r="D23" t="s">
        <v>295</v>
      </c>
      <c r="E23" t="s">
        <v>296</v>
      </c>
      <c r="F23" t="s">
        <v>297</v>
      </c>
      <c r="G23" t="s">
        <v>298</v>
      </c>
      <c r="H23" t="s">
        <v>1614</v>
      </c>
      <c r="I23" t="s">
        <v>1615</v>
      </c>
      <c r="J23">
        <v>560038</v>
      </c>
      <c r="K23" t="str">
        <f t="shared" si="9"/>
        <v>bangalore, KARNATANA,560038</v>
      </c>
      <c r="L23" t="s">
        <v>299</v>
      </c>
      <c r="M23" t="s">
        <v>300</v>
      </c>
      <c r="N23" t="s">
        <v>301</v>
      </c>
      <c r="O23" t="s">
        <v>78</v>
      </c>
      <c r="P23" t="s">
        <v>302</v>
      </c>
      <c r="Q23" t="s">
        <v>303</v>
      </c>
      <c r="R23" t="s">
        <v>304</v>
      </c>
      <c r="S23" t="s">
        <v>305</v>
      </c>
      <c r="T23" t="s">
        <v>306</v>
      </c>
      <c r="U23" t="str">
        <f t="shared" si="0"/>
        <v>SHRUTI AGARWAL</v>
      </c>
      <c r="V23" t="str">
        <f t="shared" si="1"/>
        <v>shruti.agarwal@email.in</v>
      </c>
      <c r="W23" t="str">
        <f t="shared" si="10"/>
        <v>Bangalore</v>
      </c>
      <c r="X23" t="str">
        <f t="shared" si="2"/>
        <v>shruti agarwal</v>
      </c>
      <c r="Y23" t="str">
        <f t="shared" si="11"/>
        <v>RETAIL</v>
      </c>
      <c r="Z23" t="str">
        <f t="shared" si="12"/>
        <v>network solutions india</v>
      </c>
      <c r="AA23" t="str">
        <f t="shared" si="13"/>
        <v>Network Admin</v>
      </c>
      <c r="AB23" t="str">
        <f t="shared" si="3"/>
        <v>963 Indiranagar</v>
      </c>
      <c r="AC23" t="str">
        <f t="shared" si="14"/>
        <v>DEPT-NET-022</v>
      </c>
      <c r="AD23" t="str">
        <f t="shared" si="15"/>
        <v>Tp-Link Archer Ax50 Router</v>
      </c>
      <c r="AE23" t="str">
        <f t="shared" si="16"/>
        <v>www.networking.com</v>
      </c>
      <c r="AF23" t="str">
        <f t="shared" si="17"/>
        <v>Configuration help needed</v>
      </c>
      <c r="AG23" t="str">
        <f t="shared" si="4"/>
        <v>CUST022</v>
      </c>
      <c r="AH23" t="str">
        <f t="shared" si="18"/>
        <v>PRD-ROU-022</v>
      </c>
      <c r="AI23" t="str">
        <f t="shared" si="5"/>
        <v>Shruti Agarwal</v>
      </c>
      <c r="AJ23" t="str">
        <f t="shared" si="6"/>
        <v>(080) 9876-0123</v>
      </c>
      <c r="AK23" t="str">
        <f t="shared" si="19"/>
        <v>retail</v>
      </c>
      <c r="AL23" t="str">
        <f t="shared" si="20"/>
        <v>Network Solutions India</v>
      </c>
      <c r="AM23" t="str">
        <f t="shared" si="7"/>
        <v>shruti.agarwal@email.in</v>
      </c>
      <c r="AN23" t="str">
        <f t="shared" si="21"/>
        <v>NETWORK ADMIN</v>
      </c>
      <c r="AO23" t="str">
        <f t="shared" si="8"/>
        <v>CUST022-shruti agarwal</v>
      </c>
      <c r="AP23" t="str">
        <f t="shared" si="22"/>
        <v>shruti agarwal</v>
      </c>
      <c r="AQ23" t="str">
        <f t="shared" si="23"/>
        <v>bangalore, KARNATANA</v>
      </c>
      <c r="AR23" t="str">
        <f t="shared" si="24"/>
        <v>prd-rou-022:TP-LINK archer AX50 router</v>
      </c>
      <c r="AS23" t="str">
        <f t="shared" si="25"/>
        <v>shruti.agarwal@email.in|(080) 9876-0123</v>
      </c>
      <c r="AT23" t="str">
        <f t="shared" si="26"/>
        <v>network SOLUTIONS india-network admin</v>
      </c>
      <c r="AU23" t="str">
        <f t="shared" si="27"/>
        <v>retail 16-Jun-2024</v>
      </c>
      <c r="AV23" t="str">
        <f t="shared" si="28"/>
        <v>963 Indiranagar,bangalore, KARNATANA,560038</v>
      </c>
      <c r="AW23" t="str">
        <f t="shared" si="29"/>
        <v>DEPT-NET-022_network admin</v>
      </c>
      <c r="AX23" t="str">
        <f t="shared" si="30"/>
        <v>Customer ID:CUST022</v>
      </c>
      <c r="AY23" t="str">
        <f t="shared" si="31"/>
        <v>Email:shruti.agarwal@email.in</v>
      </c>
      <c r="AZ23" t="str">
        <f t="shared" si="32"/>
        <v>WWW.NETWORKING.COM/contact</v>
      </c>
      <c r="BA23" t="str">
        <f t="shared" si="33"/>
        <v>Order Placed On 16-Jun-2024</v>
      </c>
      <c r="BB23" t="str">
        <f t="shared" si="34"/>
        <v>shruti agarwal(retail)</v>
      </c>
      <c r="BC23" t="str">
        <f t="shared" si="35"/>
        <v>prd-rou-022/TP-LINK archer AX50 router</v>
      </c>
      <c r="BD23" t="str">
        <f t="shared" si="36"/>
        <v>call (080) 9876-0123</v>
      </c>
      <c r="BE23" t="str">
        <f t="shared" si="37"/>
        <v>network SOLUTIONS india-DEPT-NET-022</v>
      </c>
      <c r="BF23" t="str">
        <f t="shared" si="38"/>
        <v>CUST022-22</v>
      </c>
      <c r="BG23" t="str">
        <f t="shared" si="39"/>
        <v>Customer: shruti agarwal,Type: retail</v>
      </c>
      <c r="BH23" t="str">
        <f t="shared" si="40"/>
        <v>bangalore,india</v>
      </c>
      <c r="BI23" t="str">
        <f t="shared" si="41"/>
        <v>CUST</v>
      </c>
      <c r="BJ23" t="str">
        <f t="shared" si="42"/>
        <v>shruti.aga</v>
      </c>
      <c r="BK23" t="str">
        <f t="shared" si="43"/>
        <v xml:space="preserve">shruti </v>
      </c>
      <c r="BL23" t="str">
        <f t="shared" si="44"/>
        <v>prd-r</v>
      </c>
      <c r="BM23" t="str">
        <f t="shared" si="45"/>
        <v>ret</v>
      </c>
      <c r="BN23" t="str">
        <f t="shared" si="46"/>
        <v>(080) 98</v>
      </c>
      <c r="BO23" t="str">
        <f t="shared" si="47"/>
        <v>email.in</v>
      </c>
      <c r="BP23" t="str">
        <f t="shared" si="48"/>
        <v>bangalore</v>
      </c>
      <c r="BQ23" t="str">
        <f t="shared" si="49"/>
        <v>T022</v>
      </c>
      <c r="BR23" t="str">
        <f t="shared" si="50"/>
        <v>garwal</v>
      </c>
      <c r="BS23" t="str">
        <f t="shared" si="51"/>
        <v>ou-022</v>
      </c>
      <c r="BU23" t="str">
        <f t="shared" si="52"/>
        <v>-0123</v>
      </c>
      <c r="BV23" t="str">
        <f t="shared" si="53"/>
        <v>560038</v>
      </c>
      <c r="BW23" t="str">
        <f t="shared" si="54"/>
        <v xml:space="preserve"> KARNATANA</v>
      </c>
      <c r="BX23" t="str">
        <f t="shared" si="55"/>
        <v>022</v>
      </c>
      <c r="BY23" t="str">
        <f t="shared" si="56"/>
        <v>NET</v>
      </c>
      <c r="BZ23" t="str">
        <f t="shared" si="57"/>
        <v>rou</v>
      </c>
      <c r="CA23" t="str">
        <f t="shared" si="58"/>
        <v>Jun</v>
      </c>
      <c r="CB23" t="str">
        <f t="shared" si="59"/>
        <v>twork</v>
      </c>
      <c r="CC23">
        <f t="shared" si="60"/>
        <v>15</v>
      </c>
      <c r="CD23">
        <f t="shared" si="61"/>
        <v>14</v>
      </c>
      <c r="CE23">
        <f t="shared" si="62"/>
        <v>23</v>
      </c>
      <c r="CF23">
        <f t="shared" si="63"/>
        <v>7</v>
      </c>
      <c r="CG23">
        <f t="shared" si="64"/>
        <v>26</v>
      </c>
      <c r="CH23">
        <f t="shared" si="65"/>
        <v>10</v>
      </c>
      <c r="CI23">
        <f t="shared" si="66"/>
        <v>7</v>
      </c>
      <c r="CJ23" t="str">
        <f t="shared" si="67"/>
        <v>Not found</v>
      </c>
      <c r="CK23">
        <f t="shared" si="68"/>
        <v>15</v>
      </c>
      <c r="CL23">
        <f t="shared" si="69"/>
        <v>4</v>
      </c>
      <c r="CM23">
        <f t="shared" si="70"/>
        <v>15</v>
      </c>
      <c r="CN23">
        <f t="shared" si="71"/>
        <v>7</v>
      </c>
      <c r="CO23">
        <f t="shared" si="72"/>
        <v>23</v>
      </c>
      <c r="CP23">
        <f t="shared" si="73"/>
        <v>8</v>
      </c>
      <c r="CQ23">
        <f t="shared" si="74"/>
        <v>12</v>
      </c>
      <c r="CR23" t="str">
        <f t="shared" si="75"/>
        <v>not found</v>
      </c>
      <c r="CS23">
        <f t="shared" si="76"/>
        <v>6</v>
      </c>
      <c r="CT23">
        <f t="shared" si="77"/>
        <v>8</v>
      </c>
      <c r="CU23">
        <f t="shared" si="78"/>
        <v>29</v>
      </c>
      <c r="CV23">
        <f t="shared" si="79"/>
        <v>3</v>
      </c>
      <c r="CW23" t="str">
        <f t="shared" si="80"/>
        <v>Customer ID022</v>
      </c>
      <c r="CX23" t="str">
        <f t="shared" si="81"/>
        <v>shruti.agarwal[AT]email.in</v>
      </c>
      <c r="CY23" t="str">
        <f t="shared" si="82"/>
        <v>Product-ROU-022</v>
      </c>
      <c r="CZ23" t="str">
        <f t="shared" si="83"/>
        <v>prd_rou_022</v>
      </c>
      <c r="DA23" t="str">
        <f t="shared" si="84"/>
        <v>DEPARTMENT-NET-022</v>
      </c>
      <c r="DB23" t="str">
        <f t="shared" si="85"/>
        <v>SHRUTI.AGARWAL@EMAIL.IN</v>
      </c>
      <c r="DC23" t="str">
        <f t="shared" si="86"/>
        <v>https://www..NETWORKING.COM</v>
      </c>
      <c r="DD23" t="str">
        <f t="shared" si="87"/>
        <v>shruti/agarwal</v>
      </c>
      <c r="DE23" t="str">
        <f t="shared" si="88"/>
        <v>RETAIL CUSTOMER</v>
      </c>
      <c r="DF23" t="str">
        <f t="shared" si="89"/>
        <v>bangalore; KARNATANA;560038</v>
      </c>
      <c r="DG23" t="str">
        <f t="shared" si="90"/>
        <v>network admin</v>
      </c>
      <c r="DH23" t="str">
        <f t="shared" si="91"/>
        <v xml:space="preserve"> 080  9876-0123</v>
      </c>
      <c r="DI23" t="str">
        <f t="shared" si="92"/>
        <v>network SOLUTIONS india</v>
      </c>
      <c r="DJ23" t="str">
        <f t="shared" si="93"/>
        <v>WWW.NETWORKING.COM</v>
      </c>
      <c r="DK23" t="str">
        <f t="shared" si="94"/>
        <v>963  Indiranagar</v>
      </c>
      <c r="DL23" t="str">
        <f t="shared" si="95"/>
        <v>shruti.agarwal</v>
      </c>
      <c r="DM23" t="str">
        <f t="shared" si="96"/>
        <v>shruti.agarwal@network SOLUTIONS india.com</v>
      </c>
      <c r="DN23" t="str">
        <f t="shared" si="97"/>
        <v>shruti</v>
      </c>
      <c r="DO23" t="str">
        <f t="shared" si="98"/>
        <v>agarwal</v>
      </c>
      <c r="DP23" t="str">
        <f t="shared" si="99"/>
        <v>agarwal,shruti</v>
      </c>
      <c r="DQ23" t="str">
        <f t="shared" si="100"/>
        <v>Name has14characters</v>
      </c>
      <c r="DR23" t="str">
        <f t="shared" si="101"/>
        <v>Check Domain</v>
      </c>
      <c r="DS23" t="str">
        <f t="shared" si="102"/>
        <v>(080</v>
      </c>
      <c r="DT23" t="str">
        <f t="shared" si="103"/>
        <v>CUS022</v>
      </c>
      <c r="DU23" t="str">
        <f t="shared" si="104"/>
        <v>sagarwal</v>
      </c>
      <c r="DV23" t="str">
        <f t="shared" si="105"/>
        <v>prd022</v>
      </c>
      <c r="DW23" t="str">
        <f t="shared" si="106"/>
        <v>(080) 9876-0123</v>
      </c>
      <c r="DX23" t="str">
        <f t="shared" si="107"/>
        <v>2024</v>
      </c>
      <c r="DY23" t="str">
        <f t="shared" si="108"/>
        <v>s</v>
      </c>
      <c r="DZ23" t="str">
        <f t="shared" si="109"/>
        <v>shrutiagarwal@network SOLUTIONS india.com</v>
      </c>
      <c r="EA23" t="str">
        <f t="shared" si="110"/>
        <v>Retail</v>
      </c>
      <c r="EB23" t="str">
        <f t="shared" si="111"/>
        <v>email.in</v>
      </c>
      <c r="EC23">
        <f t="shared" si="112"/>
        <v>26</v>
      </c>
      <c r="ED23" t="str">
        <f t="shared" si="113"/>
        <v>ba22</v>
      </c>
      <c r="EE23" t="str">
        <f t="shared" si="114"/>
        <v>bangalore- KARNATANA(560038)</v>
      </c>
      <c r="EF23" t="str">
        <f t="shared" si="115"/>
        <v>08098760123</v>
      </c>
      <c r="EG23" t="str">
        <f t="shared" si="116"/>
        <v>CUST-022</v>
      </c>
      <c r="EH23" t="str">
        <f t="shared" si="117"/>
        <v>public</v>
      </c>
      <c r="EI23" t="str">
        <f t="shared" si="118"/>
        <v>PRD-022-16Jun24</v>
      </c>
      <c r="EJ23" t="str">
        <f t="shared" si="119"/>
        <v>Retail</v>
      </c>
    </row>
    <row r="24" spans="1:140" x14ac:dyDescent="0.3">
      <c r="A24" t="s">
        <v>307</v>
      </c>
      <c r="B24" t="s">
        <v>1463</v>
      </c>
      <c r="C24" t="s">
        <v>1422</v>
      </c>
      <c r="D24" t="s">
        <v>308</v>
      </c>
      <c r="E24" t="s">
        <v>309</v>
      </c>
      <c r="F24" t="s">
        <v>310</v>
      </c>
      <c r="G24" t="s">
        <v>311</v>
      </c>
      <c r="H24" t="s">
        <v>1616</v>
      </c>
      <c r="I24" t="s">
        <v>1617</v>
      </c>
      <c r="J24">
        <v>462001</v>
      </c>
      <c r="K24" t="str">
        <f t="shared" si="9"/>
        <v>BHOPAL, Madhya Pradesh,462001</v>
      </c>
      <c r="L24" t="s">
        <v>312</v>
      </c>
      <c r="M24" t="s">
        <v>313</v>
      </c>
      <c r="N24" t="s">
        <v>314</v>
      </c>
      <c r="O24" t="s">
        <v>92</v>
      </c>
      <c r="P24" t="s">
        <v>315</v>
      </c>
      <c r="Q24" t="s">
        <v>316</v>
      </c>
      <c r="R24" t="s">
        <v>317</v>
      </c>
      <c r="S24" t="s">
        <v>318</v>
      </c>
      <c r="T24" t="s">
        <v>319</v>
      </c>
      <c r="U24" t="str">
        <f t="shared" si="0"/>
        <v xml:space="preserve">  NIKHIL SHARMA</v>
      </c>
      <c r="V24" t="str">
        <f t="shared" si="1"/>
        <v>nikhil_sharma@inbox.com</v>
      </c>
      <c r="W24" t="str">
        <f t="shared" si="10"/>
        <v>Bhopal</v>
      </c>
      <c r="X24" t="str">
        <f t="shared" si="2"/>
        <v>NIKHIL sharma</v>
      </c>
      <c r="Y24" t="str">
        <f t="shared" si="11"/>
        <v>WHOLESALE</v>
      </c>
      <c r="Z24" t="str">
        <f t="shared" si="12"/>
        <v>switch store pro</v>
      </c>
      <c r="AA24" t="str">
        <f t="shared" si="13"/>
        <v>System Engineer</v>
      </c>
      <c r="AB24" t="str">
        <f t="shared" si="3"/>
        <v>159 New Market</v>
      </c>
      <c r="AC24" t="str">
        <f t="shared" si="14"/>
        <v>DEPT-SYS-023</v>
      </c>
      <c r="AD24" t="str">
        <f t="shared" si="15"/>
        <v>Netgear 24-Port Gigabit Switch</v>
      </c>
      <c r="AE24" t="str">
        <f t="shared" si="16"/>
        <v>www.switchstore.in</v>
      </c>
      <c r="AF24" t="str">
        <f t="shared" si="17"/>
        <v>Rack mounting required</v>
      </c>
      <c r="AG24" t="str">
        <f t="shared" si="4"/>
        <v>CUST023</v>
      </c>
      <c r="AH24" t="str">
        <f t="shared" si="18"/>
        <v>PRD-SWITCH-023</v>
      </c>
      <c r="AI24" t="str">
        <f t="shared" si="5"/>
        <v xml:space="preserve">  Nikhil Sharma</v>
      </c>
      <c r="AJ24" t="str">
        <f t="shared" si="6"/>
        <v>0755-2345678</v>
      </c>
      <c r="AK24" t="str">
        <f t="shared" si="19"/>
        <v>wholesale</v>
      </c>
      <c r="AL24" t="str">
        <f t="shared" si="20"/>
        <v>Switch Store Pro</v>
      </c>
      <c r="AM24" t="str">
        <f t="shared" si="7"/>
        <v>nikhil_sharma@inbox.com</v>
      </c>
      <c r="AN24" t="str">
        <f t="shared" si="21"/>
        <v>SYSTEM ENGINEER</v>
      </c>
      <c r="AO24" t="str">
        <f t="shared" si="8"/>
        <v>cust023-  NIKHIL sharma</v>
      </c>
      <c r="AP24" t="str">
        <f t="shared" si="22"/>
        <v>NIKHIL sharma</v>
      </c>
      <c r="AQ24" t="str">
        <f t="shared" si="23"/>
        <v>BHOPAL, Madhya Pradesh</v>
      </c>
      <c r="AR24" t="str">
        <f t="shared" si="24"/>
        <v>PRD-SWITCH-023:netgear 24-PORT gigabit SWITCH</v>
      </c>
      <c r="AS24" t="str">
        <f t="shared" si="25"/>
        <v>nikhil_sharma@inbox.com|0755-2345678</v>
      </c>
      <c r="AT24" t="str">
        <f t="shared" si="26"/>
        <v>SWITCH store PRO-System Engineer</v>
      </c>
      <c r="AU24" t="str">
        <f t="shared" si="27"/>
        <v>WholeSale 23-Jun-2024</v>
      </c>
      <c r="AV24" t="str">
        <f t="shared" si="28"/>
        <v xml:space="preserve">  159 New Market  ,BHOPAL, Madhya Pradesh,462001</v>
      </c>
      <c r="AW24" t="str">
        <f t="shared" si="29"/>
        <v>dept-sys-023_System Engineer</v>
      </c>
      <c r="AX24" t="str">
        <f t="shared" si="30"/>
        <v>Customer ID:cust023</v>
      </c>
      <c r="AY24" t="str">
        <f t="shared" si="31"/>
        <v>Email:nikhil_sharma@inbox.com</v>
      </c>
      <c r="AZ24" t="str">
        <f t="shared" si="32"/>
        <v>www.switchstore.in/contact</v>
      </c>
      <c r="BA24" t="str">
        <f t="shared" si="33"/>
        <v>Order Placed On 23-Jun-2024</v>
      </c>
      <c r="BB24" t="str">
        <f t="shared" si="34"/>
        <v xml:space="preserve">  NIKHIL sharma(WholeSale)</v>
      </c>
      <c r="BC24" t="str">
        <f t="shared" si="35"/>
        <v>PRD-SWITCH-023/netgear 24-PORT gigabit SWITCH</v>
      </c>
      <c r="BD24" t="str">
        <f t="shared" si="36"/>
        <v>call 0755-2345678</v>
      </c>
      <c r="BE24" t="str">
        <f t="shared" si="37"/>
        <v>SWITCH store PRO-dept-sys-023</v>
      </c>
      <c r="BF24" t="str">
        <f t="shared" si="38"/>
        <v>cust023-23</v>
      </c>
      <c r="BG24" t="str">
        <f t="shared" si="39"/>
        <v>Customer:   NIKHIL sharma,Type: WholeSale</v>
      </c>
      <c r="BH24" t="str">
        <f t="shared" si="40"/>
        <v>BHOPAL,india</v>
      </c>
      <c r="BI24" t="str">
        <f t="shared" si="41"/>
        <v>cust</v>
      </c>
      <c r="BJ24" t="str">
        <f t="shared" si="42"/>
        <v>nikhil_sha</v>
      </c>
      <c r="BK24" t="str">
        <f t="shared" si="43"/>
        <v xml:space="preserve">NIKHIL </v>
      </c>
      <c r="BL24" t="str">
        <f t="shared" si="44"/>
        <v>PRD-S</v>
      </c>
      <c r="BM24" t="str">
        <f t="shared" si="45"/>
        <v>Who</v>
      </c>
      <c r="BN24" t="str">
        <f t="shared" si="46"/>
        <v>0755-234</v>
      </c>
      <c r="BO24" t="str">
        <f t="shared" si="47"/>
        <v>inbox.com</v>
      </c>
      <c r="BP24" t="str">
        <f t="shared" si="48"/>
        <v>BHOPAL</v>
      </c>
      <c r="BQ24" t="str">
        <f t="shared" si="49"/>
        <v>t023</v>
      </c>
      <c r="BR24" t="str">
        <f t="shared" si="50"/>
        <v>sharma</v>
      </c>
      <c r="BS24" t="str">
        <f t="shared" si="51"/>
        <v>CH-023</v>
      </c>
      <c r="BU24" t="str">
        <f t="shared" si="52"/>
        <v>45678</v>
      </c>
      <c r="BV24" t="str">
        <f t="shared" si="53"/>
        <v>462001</v>
      </c>
      <c r="BW24" t="str">
        <f t="shared" si="54"/>
        <v xml:space="preserve"> Madhya Pradesh</v>
      </c>
      <c r="BX24" t="str">
        <f t="shared" si="55"/>
        <v>023</v>
      </c>
      <c r="BY24" t="str">
        <f t="shared" si="56"/>
        <v>sys</v>
      </c>
      <c r="BZ24" t="str">
        <f t="shared" si="57"/>
        <v>SWITCH</v>
      </c>
      <c r="CA24" t="str">
        <f t="shared" si="58"/>
        <v>Jun</v>
      </c>
      <c r="CB24" t="str">
        <f t="shared" si="59"/>
        <v xml:space="preserve">ITCH </v>
      </c>
      <c r="CC24">
        <f t="shared" si="60"/>
        <v>14</v>
      </c>
      <c r="CD24">
        <f t="shared" si="61"/>
        <v>15</v>
      </c>
      <c r="CE24">
        <f t="shared" si="62"/>
        <v>23</v>
      </c>
      <c r="CF24">
        <f t="shared" si="63"/>
        <v>1</v>
      </c>
      <c r="CG24">
        <f t="shared" si="64"/>
        <v>30</v>
      </c>
      <c r="CH24">
        <f t="shared" si="65"/>
        <v>7</v>
      </c>
      <c r="CI24">
        <f t="shared" si="66"/>
        <v>7</v>
      </c>
      <c r="CJ24">
        <f t="shared" si="67"/>
        <v>1</v>
      </c>
      <c r="CK24">
        <f t="shared" si="68"/>
        <v>12</v>
      </c>
      <c r="CL24">
        <f t="shared" si="69"/>
        <v>4</v>
      </c>
      <c r="CM24">
        <f t="shared" si="70"/>
        <v>18</v>
      </c>
      <c r="CN24">
        <f t="shared" si="71"/>
        <v>20</v>
      </c>
      <c r="CO24">
        <f t="shared" si="72"/>
        <v>16</v>
      </c>
      <c r="CP24">
        <f t="shared" si="73"/>
        <v>11</v>
      </c>
      <c r="CQ24">
        <f t="shared" si="74"/>
        <v>12</v>
      </c>
      <c r="CR24" t="str">
        <f t="shared" si="75"/>
        <v>not found</v>
      </c>
      <c r="CS24">
        <f t="shared" si="76"/>
        <v>9</v>
      </c>
      <c r="CT24">
        <f t="shared" si="77"/>
        <v>11</v>
      </c>
      <c r="CU24">
        <f t="shared" si="78"/>
        <v>22</v>
      </c>
      <c r="CV24">
        <f t="shared" si="79"/>
        <v>3</v>
      </c>
      <c r="CW24" t="str">
        <f t="shared" si="80"/>
        <v>Customer ID023</v>
      </c>
      <c r="CX24" t="str">
        <f t="shared" si="81"/>
        <v>nikhil_sharma[AT]inbox.com</v>
      </c>
      <c r="CY24" t="str">
        <f t="shared" si="82"/>
        <v>Product-SWITCH-023</v>
      </c>
      <c r="CZ24" t="str">
        <f t="shared" si="83"/>
        <v>PRD_SWITCH_023</v>
      </c>
      <c r="DA24" t="str">
        <f t="shared" si="84"/>
        <v>DEPARTMENT-SYS-023</v>
      </c>
      <c r="DB24" t="str">
        <f t="shared" si="85"/>
        <v>NIKHIL_SHARMA@INBOX.in</v>
      </c>
      <c r="DC24" t="str">
        <f t="shared" si="86"/>
        <v>https://www..SWITCHSTORE.IN</v>
      </c>
      <c r="DD24" t="str">
        <f t="shared" si="87"/>
        <v>//NIKHIL/sharma</v>
      </c>
      <c r="DE24" t="str">
        <f t="shared" si="88"/>
        <v>WholeSale</v>
      </c>
      <c r="DF24" t="str">
        <f t="shared" si="89"/>
        <v>BHOPAL; Madhya Pradesh;462001</v>
      </c>
      <c r="DG24" t="str">
        <f t="shared" si="90"/>
        <v>System Engineer</v>
      </c>
      <c r="DH24" t="str">
        <f t="shared" si="91"/>
        <v>0755-2345678</v>
      </c>
      <c r="DI24" t="str">
        <f t="shared" si="92"/>
        <v>SWITCH store PRO</v>
      </c>
      <c r="DJ24" t="str">
        <f t="shared" si="93"/>
        <v>www.switchstore.in</v>
      </c>
      <c r="DK24" t="str">
        <f t="shared" si="94"/>
        <v xml:space="preserve">    159  New  Market    </v>
      </c>
      <c r="DL24" t="str">
        <f t="shared" si="95"/>
        <v>nikhil_sharma</v>
      </c>
      <c r="DM24" t="str">
        <f t="shared" si="96"/>
        <v>NIKHIL.sharma@SWITCH store PRO.com</v>
      </c>
      <c r="DN24" t="str">
        <f t="shared" si="97"/>
        <v>NIKHIL</v>
      </c>
      <c r="DO24" t="str">
        <f t="shared" si="98"/>
        <v>sharma</v>
      </c>
      <c r="DP24" t="str">
        <f t="shared" si="99"/>
        <v>sharma,NIKHIL</v>
      </c>
      <c r="DQ24" t="str">
        <f t="shared" si="100"/>
        <v>Name has13characters</v>
      </c>
      <c r="DR24" t="str">
        <f t="shared" si="101"/>
        <v>Valid</v>
      </c>
      <c r="DS24" t="str">
        <f t="shared" si="102"/>
        <v>0755</v>
      </c>
      <c r="DT24" t="str">
        <f t="shared" si="103"/>
        <v>cus023</v>
      </c>
      <c r="DU24" t="str">
        <f t="shared" si="104"/>
        <v>Nsharma</v>
      </c>
      <c r="DV24" t="str">
        <f t="shared" si="105"/>
        <v>PRD023</v>
      </c>
      <c r="DW24" t="str">
        <f t="shared" si="106"/>
        <v>0755-2345678</v>
      </c>
      <c r="DX24" t="str">
        <f t="shared" si="107"/>
        <v>2024</v>
      </c>
      <c r="DY24" t="str">
        <f t="shared" si="108"/>
        <v>N</v>
      </c>
      <c r="DZ24" t="str">
        <f t="shared" si="109"/>
        <v>NIKHILsharma@SWITCH store PRO.com</v>
      </c>
      <c r="EA24" t="str">
        <f t="shared" si="110"/>
        <v>Wholesale</v>
      </c>
      <c r="EB24" t="str">
        <f t="shared" si="111"/>
        <v>inbox.com</v>
      </c>
      <c r="EC24">
        <f t="shared" si="112"/>
        <v>30</v>
      </c>
      <c r="ED24" t="str">
        <f t="shared" si="113"/>
        <v>BH23</v>
      </c>
      <c r="EE24" t="str">
        <f t="shared" si="114"/>
        <v>BHOPAL- Madhya Pradesh(462001)</v>
      </c>
      <c r="EF24" t="str">
        <f t="shared" si="115"/>
        <v>07552345678</v>
      </c>
      <c r="EG24" t="str">
        <f t="shared" si="116"/>
        <v>CUST-023</v>
      </c>
      <c r="EH24" t="str">
        <f t="shared" si="117"/>
        <v>public</v>
      </c>
      <c r="EI24" t="str">
        <f t="shared" si="118"/>
        <v>PRD-023-23Jun24</v>
      </c>
      <c r="EJ24" t="str">
        <f t="shared" si="119"/>
        <v>Wholesale</v>
      </c>
    </row>
    <row r="25" spans="1:140" x14ac:dyDescent="0.3">
      <c r="A25" t="s">
        <v>320</v>
      </c>
      <c r="B25" t="s">
        <v>1464</v>
      </c>
      <c r="C25" t="s">
        <v>1465</v>
      </c>
      <c r="D25" t="s">
        <v>321</v>
      </c>
      <c r="E25" t="s">
        <v>322</v>
      </c>
      <c r="F25" t="s">
        <v>323</v>
      </c>
      <c r="G25" t="s">
        <v>324</v>
      </c>
      <c r="H25" t="s">
        <v>1618</v>
      </c>
      <c r="I25" t="s">
        <v>1599</v>
      </c>
      <c r="J25">
        <v>160035</v>
      </c>
      <c r="K25" t="str">
        <f t="shared" si="9"/>
        <v>Chandigarh, CHANDIGARH,160035</v>
      </c>
      <c r="L25" t="s">
        <v>325</v>
      </c>
      <c r="M25" t="s">
        <v>326</v>
      </c>
      <c r="N25" t="s">
        <v>327</v>
      </c>
      <c r="O25" t="s">
        <v>132</v>
      </c>
      <c r="P25" t="s">
        <v>328</v>
      </c>
      <c r="Q25" t="s">
        <v>329</v>
      </c>
      <c r="R25" t="s">
        <v>330</v>
      </c>
      <c r="S25" t="s">
        <v>331</v>
      </c>
      <c r="T25" t="s">
        <v>332</v>
      </c>
      <c r="U25" t="str">
        <f t="shared" si="0"/>
        <v xml:space="preserve">ANJALI CHAWLA  </v>
      </c>
      <c r="V25" t="str">
        <f t="shared" si="1"/>
        <v>anjali.chawla@corporate.in</v>
      </c>
      <c r="W25" t="str">
        <f t="shared" si="10"/>
        <v>Chandigarh</v>
      </c>
      <c r="X25" t="str">
        <f t="shared" si="2"/>
        <v>anjali CHAWLA</v>
      </c>
      <c r="Y25" t="str">
        <f t="shared" si="11"/>
        <v>CORPORATE</v>
      </c>
      <c r="Z25" t="str">
        <f t="shared" si="12"/>
        <v xml:space="preserve">  broadband solutions  </v>
      </c>
      <c r="AA25" t="str">
        <f t="shared" si="13"/>
        <v>Telecom Head</v>
      </c>
      <c r="AB25" t="str">
        <f t="shared" si="3"/>
        <v>357 Sector 35</v>
      </c>
      <c r="AC25" t="str">
        <f t="shared" si="14"/>
        <v>DEPT-TEL-024</v>
      </c>
      <c r="AD25" t="str">
        <f t="shared" si="15"/>
        <v>Netgear Cable Modem</v>
      </c>
      <c r="AE25" t="str">
        <f t="shared" si="16"/>
        <v>https://broadband.com</v>
      </c>
      <c r="AF25" t="str">
        <f t="shared" si="17"/>
        <v>Installation service needed</v>
      </c>
      <c r="AG25" t="str">
        <f t="shared" si="4"/>
        <v>CUST024</v>
      </c>
      <c r="AH25" t="str">
        <f t="shared" si="18"/>
        <v>PRD-MOD-024</v>
      </c>
      <c r="AI25" t="str">
        <f t="shared" si="5"/>
        <v xml:space="preserve">Anjali Chawla  </v>
      </c>
      <c r="AJ25" t="str">
        <f t="shared" si="6"/>
        <v>+91-9123789456</v>
      </c>
      <c r="AK25" t="str">
        <f t="shared" si="19"/>
        <v>corporate</v>
      </c>
      <c r="AL25" t="str">
        <f t="shared" si="20"/>
        <v>Broadband Solutions</v>
      </c>
      <c r="AM25" t="str">
        <f t="shared" si="7"/>
        <v>anjali.chawla@corporate.in</v>
      </c>
      <c r="AN25" t="str">
        <f t="shared" si="21"/>
        <v>TELECOM HEAD</v>
      </c>
      <c r="AO25" t="str">
        <f t="shared" si="8"/>
        <v xml:space="preserve">Cust024-anjali CHAWLA  </v>
      </c>
      <c r="AP25" t="str">
        <f t="shared" si="22"/>
        <v>anjali CHAWLA</v>
      </c>
      <c r="AQ25" t="str">
        <f t="shared" si="23"/>
        <v>Chandigarh, CHANDIGARH</v>
      </c>
      <c r="AR25" t="str">
        <f t="shared" si="24"/>
        <v>prd-mod-024:NETGEAR cable modem</v>
      </c>
      <c r="AS25" t="str">
        <f t="shared" si="25"/>
        <v>ANJALI.CHAWLA@CORPORATE.IN|+91-9123789456</v>
      </c>
      <c r="AT25" t="str">
        <f t="shared" si="26"/>
        <v xml:space="preserve">  BROADBAND solutions  -TELECOM HEAD</v>
      </c>
      <c r="AU25" t="str">
        <f t="shared" si="27"/>
        <v>Corporate 30-Jun-2024</v>
      </c>
      <c r="AV25" t="str">
        <f t="shared" si="28"/>
        <v>357 Sector 35,Chandigarh, CHANDIGARH,160035</v>
      </c>
      <c r="AW25" t="str">
        <f t="shared" si="29"/>
        <v>DEPT-TEL-024_TELECOM HEAD</v>
      </c>
      <c r="AX25" t="str">
        <f t="shared" si="30"/>
        <v>Customer ID:Cust024</v>
      </c>
      <c r="AY25" t="str">
        <f t="shared" si="31"/>
        <v>Email:ANJALI.CHAWLA@CORPORATE.IN</v>
      </c>
      <c r="AZ25" t="str">
        <f t="shared" si="32"/>
        <v>https://broadband.com/contact</v>
      </c>
      <c r="BA25" t="str">
        <f t="shared" si="33"/>
        <v>Order Placed On 30-Jun-2024</v>
      </c>
      <c r="BB25" t="str">
        <f t="shared" si="34"/>
        <v>anjali CHAWLA  (Corporate)</v>
      </c>
      <c r="BC25" t="str">
        <f t="shared" si="35"/>
        <v>prd-mod-024/NETGEAR cable modem</v>
      </c>
      <c r="BD25" t="str">
        <f t="shared" si="36"/>
        <v>call +91-9123789456</v>
      </c>
      <c r="BE25" t="str">
        <f t="shared" si="37"/>
        <v xml:space="preserve">  BROADBAND solutions  -DEPT-TEL-024</v>
      </c>
      <c r="BF25" t="str">
        <f t="shared" si="38"/>
        <v>Cust024-24</v>
      </c>
      <c r="BG25" t="str">
        <f t="shared" si="39"/>
        <v>Customer: anjali CHAWLA  ,Type: Corporate</v>
      </c>
      <c r="BH25" t="str">
        <f t="shared" si="40"/>
        <v>Chandigarh,india</v>
      </c>
      <c r="BI25" t="str">
        <f t="shared" si="41"/>
        <v>Cust</v>
      </c>
      <c r="BJ25" t="str">
        <f t="shared" si="42"/>
        <v>ANJALI.CHA</v>
      </c>
      <c r="BK25" t="str">
        <f t="shared" si="43"/>
        <v xml:space="preserve">anjali </v>
      </c>
      <c r="BL25" t="str">
        <f t="shared" si="44"/>
        <v>prd-m</v>
      </c>
      <c r="BM25" t="str">
        <f t="shared" si="45"/>
        <v>Cor</v>
      </c>
      <c r="BN25" t="str">
        <f t="shared" si="46"/>
        <v>+91-9123</v>
      </c>
      <c r="BO25" t="str">
        <f t="shared" si="47"/>
        <v>CORPORATE.IN</v>
      </c>
      <c r="BP25" t="str">
        <f t="shared" si="48"/>
        <v>Chandigarh</v>
      </c>
      <c r="BQ25" t="str">
        <f t="shared" si="49"/>
        <v>t024</v>
      </c>
      <c r="BR25" t="str">
        <f t="shared" si="50"/>
        <v>CHAWLA</v>
      </c>
      <c r="BS25" t="str">
        <f t="shared" si="51"/>
        <v>od-024</v>
      </c>
      <c r="BU25" t="str">
        <f t="shared" si="52"/>
        <v>89456</v>
      </c>
      <c r="BV25" t="str">
        <f t="shared" si="53"/>
        <v>160035</v>
      </c>
      <c r="BW25" t="str">
        <f t="shared" si="54"/>
        <v xml:space="preserve"> CHANDIGARH</v>
      </c>
      <c r="BX25" t="str">
        <f t="shared" si="55"/>
        <v>024</v>
      </c>
      <c r="BY25" t="str">
        <f t="shared" si="56"/>
        <v>TEL</v>
      </c>
      <c r="BZ25" t="str">
        <f t="shared" si="57"/>
        <v>mod</v>
      </c>
      <c r="CA25" t="str">
        <f t="shared" si="58"/>
        <v>Jun</v>
      </c>
      <c r="CB25" t="str">
        <f t="shared" si="59"/>
        <v>BROAD</v>
      </c>
      <c r="CC25">
        <f t="shared" si="60"/>
        <v>14</v>
      </c>
      <c r="CD25">
        <f t="shared" si="61"/>
        <v>15</v>
      </c>
      <c r="CE25">
        <f t="shared" si="62"/>
        <v>26</v>
      </c>
      <c r="CF25">
        <f t="shared" si="63"/>
        <v>7</v>
      </c>
      <c r="CG25">
        <f t="shared" si="64"/>
        <v>19</v>
      </c>
      <c r="CH25">
        <f t="shared" si="65"/>
        <v>11</v>
      </c>
      <c r="CI25">
        <f t="shared" si="66"/>
        <v>7</v>
      </c>
      <c r="CJ25" t="str">
        <f t="shared" si="67"/>
        <v>Not found</v>
      </c>
      <c r="CK25">
        <f t="shared" si="68"/>
        <v>14</v>
      </c>
      <c r="CL25">
        <f t="shared" si="69"/>
        <v>4</v>
      </c>
      <c r="CM25">
        <f t="shared" si="70"/>
        <v>13</v>
      </c>
      <c r="CN25">
        <f t="shared" si="71"/>
        <v>7</v>
      </c>
      <c r="CO25">
        <f t="shared" si="72"/>
        <v>19</v>
      </c>
      <c r="CP25">
        <f t="shared" si="73"/>
        <v>8</v>
      </c>
      <c r="CQ25">
        <f t="shared" si="74"/>
        <v>12</v>
      </c>
      <c r="CR25">
        <f t="shared" si="75"/>
        <v>7</v>
      </c>
      <c r="CS25">
        <f t="shared" si="76"/>
        <v>9</v>
      </c>
      <c r="CT25">
        <f t="shared" si="77"/>
        <v>8</v>
      </c>
      <c r="CU25">
        <f t="shared" si="78"/>
        <v>27</v>
      </c>
      <c r="CV25">
        <f t="shared" si="79"/>
        <v>3</v>
      </c>
      <c r="CW25" t="str">
        <f t="shared" si="80"/>
        <v>Customer ID024</v>
      </c>
      <c r="CX25" t="str">
        <f t="shared" si="81"/>
        <v>ANJALI.CHAWLA[AT]CORPORATE.IN</v>
      </c>
      <c r="CY25" t="str">
        <f t="shared" si="82"/>
        <v>Product-MOD-024</v>
      </c>
      <c r="CZ25" t="str">
        <f t="shared" si="83"/>
        <v>prd_mod_024</v>
      </c>
      <c r="DA25" t="str">
        <f t="shared" si="84"/>
        <v>DEPARTMENT-TEL-024</v>
      </c>
      <c r="DB25" t="str">
        <f t="shared" si="85"/>
        <v>ANJALI.CHAWLA@CORPORATE.IN</v>
      </c>
      <c r="DC25" t="str">
        <f t="shared" si="86"/>
        <v>HTTPS://BROADBAND.COM</v>
      </c>
      <c r="DD25" t="str">
        <f t="shared" si="87"/>
        <v>anjali/CHAWLA//</v>
      </c>
      <c r="DE25" t="str">
        <f t="shared" si="88"/>
        <v>Corporate</v>
      </c>
      <c r="DF25" t="str">
        <f t="shared" si="89"/>
        <v>Chandigarh; CHANDIGARH;160035</v>
      </c>
      <c r="DG25" t="str">
        <f t="shared" si="90"/>
        <v>TELECOM HEAD</v>
      </c>
      <c r="DH25" t="str">
        <f t="shared" si="91"/>
        <v>+91-9123789456</v>
      </c>
      <c r="DI25" t="str">
        <f t="shared" si="92"/>
        <v xml:space="preserve">  BROADBAND solutions  </v>
      </c>
      <c r="DJ25" t="str">
        <f t="shared" si="93"/>
        <v>https:://broadband.com</v>
      </c>
      <c r="DK25" t="str">
        <f t="shared" si="94"/>
        <v>357  Sector  35</v>
      </c>
      <c r="DL25" t="str">
        <f t="shared" si="95"/>
        <v>ANJALI.CHAWLA</v>
      </c>
      <c r="DM25" t="str">
        <f t="shared" si="96"/>
        <v>anjali.CHAWLA@  BROADBAND solutions  .com</v>
      </c>
      <c r="DN25" t="str">
        <f t="shared" si="97"/>
        <v>anjali</v>
      </c>
      <c r="DO25" t="str">
        <f t="shared" si="98"/>
        <v>CHAWLA</v>
      </c>
      <c r="DP25" t="str">
        <f t="shared" si="99"/>
        <v>CHAWLA,anjali</v>
      </c>
      <c r="DQ25" t="str">
        <f t="shared" si="100"/>
        <v>Name has13characters</v>
      </c>
      <c r="DR25" t="str">
        <f t="shared" si="101"/>
        <v>Check Domain</v>
      </c>
      <c r="DS25" t="str">
        <f t="shared" si="102"/>
        <v>+91-</v>
      </c>
      <c r="DT25" t="str">
        <f t="shared" si="103"/>
        <v>Cus024</v>
      </c>
      <c r="DU25" t="str">
        <f t="shared" si="104"/>
        <v>achawla</v>
      </c>
      <c r="DV25" t="str">
        <f t="shared" si="105"/>
        <v>prd024</v>
      </c>
      <c r="DW25" t="str">
        <f t="shared" si="106"/>
        <v>+91-9123789456</v>
      </c>
      <c r="DX25" t="str">
        <f t="shared" si="107"/>
        <v>2024</v>
      </c>
      <c r="DY25" t="str">
        <f t="shared" si="108"/>
        <v>a</v>
      </c>
      <c r="DZ25" t="str">
        <f t="shared" si="109"/>
        <v>anjaliCHAWLA@  BROADBAND solutions  .com</v>
      </c>
      <c r="EA25" t="str">
        <f t="shared" si="110"/>
        <v/>
      </c>
      <c r="EB25" t="str">
        <f t="shared" si="111"/>
        <v>CORPORATE.IN</v>
      </c>
      <c r="EC25">
        <f t="shared" si="112"/>
        <v>19</v>
      </c>
      <c r="ED25" t="str">
        <f t="shared" si="113"/>
        <v>Ch24</v>
      </c>
      <c r="EE25" t="str">
        <f t="shared" si="114"/>
        <v>Chandigarh- CHANDIGARH(160035)</v>
      </c>
      <c r="EF25" t="str">
        <f t="shared" si="115"/>
        <v>919123789456</v>
      </c>
      <c r="EG25" t="str">
        <f t="shared" si="116"/>
        <v>CUST-024</v>
      </c>
      <c r="EH25" t="str">
        <f t="shared" si="117"/>
        <v>public</v>
      </c>
      <c r="EI25" t="str">
        <f t="shared" si="118"/>
        <v>PRD-024-30Jun24</v>
      </c>
      <c r="EJ25" t="str">
        <f t="shared" si="119"/>
        <v>Corporate</v>
      </c>
    </row>
    <row r="26" spans="1:140" x14ac:dyDescent="0.3">
      <c r="A26" t="s">
        <v>333</v>
      </c>
      <c r="B26" t="s">
        <v>1466</v>
      </c>
      <c r="C26" t="s">
        <v>1467</v>
      </c>
      <c r="D26" t="s">
        <v>334</v>
      </c>
      <c r="E26" t="s">
        <v>335</v>
      </c>
      <c r="F26" t="s">
        <v>336</v>
      </c>
      <c r="G26" t="s">
        <v>337</v>
      </c>
      <c r="H26" t="s">
        <v>1619</v>
      </c>
      <c r="I26" t="s">
        <v>1620</v>
      </c>
      <c r="J26">
        <v>208002</v>
      </c>
      <c r="K26" t="str">
        <f t="shared" si="9"/>
        <v>kanpur, Uttar Pradesh,208002</v>
      </c>
      <c r="L26" t="s">
        <v>338</v>
      </c>
      <c r="M26" t="s">
        <v>339</v>
      </c>
      <c r="N26" t="s">
        <v>340</v>
      </c>
      <c r="O26" t="s">
        <v>78</v>
      </c>
      <c r="P26" t="s">
        <v>341</v>
      </c>
      <c r="Q26" t="s">
        <v>342</v>
      </c>
      <c r="R26" t="s">
        <v>81</v>
      </c>
      <c r="S26" t="s">
        <v>343</v>
      </c>
      <c r="T26" t="s">
        <v>344</v>
      </c>
      <c r="U26" t="str">
        <f t="shared" si="0"/>
        <v>GAURAV PANDEY</v>
      </c>
      <c r="V26" t="str">
        <f t="shared" si="1"/>
        <v>gaurav.pandey@mail.in</v>
      </c>
      <c r="W26" t="str">
        <f t="shared" si="10"/>
        <v>Kanpur</v>
      </c>
      <c r="X26" t="str">
        <f t="shared" si="2"/>
        <v>gaurav PANDEY</v>
      </c>
      <c r="Y26" t="str">
        <f t="shared" si="11"/>
        <v>RETAIL</v>
      </c>
      <c r="Z26" t="str">
        <f t="shared" si="12"/>
        <v>wifi world india</v>
      </c>
      <c r="AA26" t="str">
        <f t="shared" si="13"/>
        <v>Store Manager</v>
      </c>
      <c r="AB26" t="str">
        <f t="shared" si="3"/>
        <v>753 Swaroop Nagar</v>
      </c>
      <c r="AC26" t="str">
        <f t="shared" si="14"/>
        <v>DEPT-RETAIL-025</v>
      </c>
      <c r="AD26" t="str">
        <f t="shared" si="15"/>
        <v>Tp-Link Wifi Extender</v>
      </c>
      <c r="AE26" t="str">
        <f t="shared" si="16"/>
        <v>www.wifi.in</v>
      </c>
      <c r="AF26" t="str">
        <f t="shared" si="17"/>
        <v>Range test needed</v>
      </c>
      <c r="AG26" t="str">
        <f t="shared" si="4"/>
        <v>CUST025</v>
      </c>
      <c r="AH26" t="str">
        <f t="shared" si="18"/>
        <v>PRD-EXT-025</v>
      </c>
      <c r="AI26" t="str">
        <f t="shared" si="5"/>
        <v>Gaurav Pandey</v>
      </c>
      <c r="AJ26" t="str">
        <f t="shared" si="6"/>
        <v>(0512) 8765-4321</v>
      </c>
      <c r="AK26" t="str">
        <f t="shared" si="19"/>
        <v>retail</v>
      </c>
      <c r="AL26" t="str">
        <f t="shared" si="20"/>
        <v>Wifi World India</v>
      </c>
      <c r="AM26" t="str">
        <f t="shared" si="7"/>
        <v>gaurav.pandey@mail.in</v>
      </c>
      <c r="AN26" t="str">
        <f t="shared" si="21"/>
        <v>STORE MANAGER</v>
      </c>
      <c r="AO26" t="str">
        <f t="shared" si="8"/>
        <v>CUST025-gaurav PANDEY</v>
      </c>
      <c r="AP26" t="str">
        <f t="shared" si="22"/>
        <v>gaurav PANDEY</v>
      </c>
      <c r="AQ26" t="str">
        <f t="shared" si="23"/>
        <v>kanpur, Uttar Pradesh</v>
      </c>
      <c r="AR26" t="str">
        <f t="shared" si="24"/>
        <v>prd-ext-025:TP-LINK wifi EXTENDER</v>
      </c>
      <c r="AS26" t="str">
        <f t="shared" si="25"/>
        <v>gaurav.pandey@mail.in|(0512) 8765-4321</v>
      </c>
      <c r="AT26" t="str">
        <f t="shared" si="26"/>
        <v>wifi WORLD india-store manager</v>
      </c>
      <c r="AU26" t="str">
        <f t="shared" si="27"/>
        <v>retail 07-Jul-2024</v>
      </c>
      <c r="AV26" t="str">
        <f t="shared" si="28"/>
        <v>753 Swaroop Nagar,kanpur, Uttar Pradesh,208002</v>
      </c>
      <c r="AW26" t="str">
        <f t="shared" si="29"/>
        <v>DEPT-RETAIL-025_store manager</v>
      </c>
      <c r="AX26" t="str">
        <f t="shared" si="30"/>
        <v>Customer ID:CUST025</v>
      </c>
      <c r="AY26" t="str">
        <f t="shared" si="31"/>
        <v>Email:gaurav.pandey@mail.in</v>
      </c>
      <c r="AZ26" t="str">
        <f t="shared" si="32"/>
        <v>WWW.WIFI.IN/contact</v>
      </c>
      <c r="BA26" t="str">
        <f t="shared" si="33"/>
        <v>Order Placed On 07-Jul-2024</v>
      </c>
      <c r="BB26" t="str">
        <f t="shared" si="34"/>
        <v>gaurav PANDEY(retail)</v>
      </c>
      <c r="BC26" t="str">
        <f t="shared" si="35"/>
        <v>prd-ext-025/TP-LINK wifi EXTENDER</v>
      </c>
      <c r="BD26" t="str">
        <f t="shared" si="36"/>
        <v>call (0512) 8765-4321</v>
      </c>
      <c r="BE26" t="str">
        <f t="shared" si="37"/>
        <v>wifi WORLD india-DEPT-RETAIL-025</v>
      </c>
      <c r="BF26" t="str">
        <f t="shared" si="38"/>
        <v>CUST025-25</v>
      </c>
      <c r="BG26" t="str">
        <f t="shared" si="39"/>
        <v>Customer: gaurav PANDEY,Type: retail</v>
      </c>
      <c r="BH26" t="str">
        <f t="shared" si="40"/>
        <v>kanpur,india</v>
      </c>
      <c r="BI26" t="str">
        <f t="shared" si="41"/>
        <v>CUST</v>
      </c>
      <c r="BJ26" t="str">
        <f t="shared" si="42"/>
        <v>gaurav.pan</v>
      </c>
      <c r="BK26" t="str">
        <f t="shared" si="43"/>
        <v xml:space="preserve">gaurav </v>
      </c>
      <c r="BL26" t="str">
        <f t="shared" si="44"/>
        <v>prd-e</v>
      </c>
      <c r="BM26" t="str">
        <f t="shared" si="45"/>
        <v>ret</v>
      </c>
      <c r="BN26" t="str">
        <f t="shared" si="46"/>
        <v>(0512) 8</v>
      </c>
      <c r="BO26" t="str">
        <f t="shared" si="47"/>
        <v>mail.in</v>
      </c>
      <c r="BP26" t="str">
        <f t="shared" si="48"/>
        <v>kanpur</v>
      </c>
      <c r="BQ26" t="str">
        <f t="shared" si="49"/>
        <v>T025</v>
      </c>
      <c r="BR26" t="str">
        <f t="shared" si="50"/>
        <v>PANDEY</v>
      </c>
      <c r="BS26" t="str">
        <f t="shared" si="51"/>
        <v>xt-025</v>
      </c>
      <c r="BU26" t="str">
        <f t="shared" si="52"/>
        <v>-4321</v>
      </c>
      <c r="BV26" t="str">
        <f t="shared" si="53"/>
        <v>208002</v>
      </c>
      <c r="BW26" t="str">
        <f t="shared" si="54"/>
        <v xml:space="preserve"> Uttar Pradesh</v>
      </c>
      <c r="BX26" t="str">
        <f t="shared" si="55"/>
        <v>025</v>
      </c>
      <c r="BY26" t="str">
        <f t="shared" si="56"/>
        <v>RETAIL</v>
      </c>
      <c r="BZ26" t="str">
        <f t="shared" si="57"/>
        <v>ext</v>
      </c>
      <c r="CA26" t="str">
        <f t="shared" si="58"/>
        <v>Jul</v>
      </c>
      <c r="CB26" t="str">
        <f t="shared" si="59"/>
        <v>fi WO</v>
      </c>
      <c r="CC26">
        <f t="shared" si="60"/>
        <v>14</v>
      </c>
      <c r="CD26">
        <f t="shared" si="61"/>
        <v>13</v>
      </c>
      <c r="CE26">
        <f t="shared" si="62"/>
        <v>21</v>
      </c>
      <c r="CF26">
        <f t="shared" si="63"/>
        <v>7</v>
      </c>
      <c r="CG26">
        <f t="shared" si="64"/>
        <v>21</v>
      </c>
      <c r="CH26">
        <f t="shared" si="65"/>
        <v>7</v>
      </c>
      <c r="CI26">
        <f t="shared" si="66"/>
        <v>7</v>
      </c>
      <c r="CJ26" t="str">
        <f t="shared" si="67"/>
        <v>Not found</v>
      </c>
      <c r="CK26">
        <f t="shared" si="68"/>
        <v>16</v>
      </c>
      <c r="CL26">
        <f t="shared" si="69"/>
        <v>4</v>
      </c>
      <c r="CM26">
        <f t="shared" si="70"/>
        <v>17</v>
      </c>
      <c r="CN26">
        <f t="shared" si="71"/>
        <v>7</v>
      </c>
      <c r="CO26">
        <f t="shared" si="72"/>
        <v>16</v>
      </c>
      <c r="CP26">
        <f t="shared" si="73"/>
        <v>8</v>
      </c>
      <c r="CQ26">
        <f t="shared" si="74"/>
        <v>15</v>
      </c>
      <c r="CR26" t="str">
        <f t="shared" si="75"/>
        <v>not found</v>
      </c>
      <c r="CS26">
        <f t="shared" si="76"/>
        <v>6</v>
      </c>
      <c r="CT26">
        <f t="shared" si="77"/>
        <v>8</v>
      </c>
      <c r="CU26">
        <f t="shared" si="78"/>
        <v>21</v>
      </c>
      <c r="CV26">
        <f t="shared" si="79"/>
        <v>3</v>
      </c>
      <c r="CW26" t="str">
        <f t="shared" si="80"/>
        <v>Customer ID025</v>
      </c>
      <c r="CX26" t="str">
        <f t="shared" si="81"/>
        <v>gaurav.pandey[AT]mail.in</v>
      </c>
      <c r="CY26" t="str">
        <f t="shared" si="82"/>
        <v>Product-EXT-025</v>
      </c>
      <c r="CZ26" t="str">
        <f t="shared" si="83"/>
        <v>prd_ext_025</v>
      </c>
      <c r="DA26" t="str">
        <f t="shared" si="84"/>
        <v>DEPARTMENT-RETAIL-025</v>
      </c>
      <c r="DB26" t="str">
        <f t="shared" si="85"/>
        <v>GAURAV.PANDEY@MAIL.IN</v>
      </c>
      <c r="DC26" t="str">
        <f t="shared" si="86"/>
        <v>https://www..WIFI.IN</v>
      </c>
      <c r="DD26" t="str">
        <f t="shared" si="87"/>
        <v>gaurav/PANDEY</v>
      </c>
      <c r="DE26" t="str">
        <f t="shared" si="88"/>
        <v>RETAIL CUSTOMER</v>
      </c>
      <c r="DF26" t="str">
        <f t="shared" si="89"/>
        <v>kanpur; Uttar Pradesh;208002</v>
      </c>
      <c r="DG26" t="str">
        <f t="shared" si="90"/>
        <v>store MANAGER</v>
      </c>
      <c r="DH26" t="str">
        <f t="shared" si="91"/>
        <v xml:space="preserve"> 0512  8765-4321</v>
      </c>
      <c r="DI26" t="str">
        <f t="shared" si="92"/>
        <v>wifi WORLD india</v>
      </c>
      <c r="DJ26" t="str">
        <f t="shared" si="93"/>
        <v>WWW.WIFI.IN</v>
      </c>
      <c r="DK26" t="str">
        <f t="shared" si="94"/>
        <v>753  Swaroop  Nagar</v>
      </c>
      <c r="DL26" t="str">
        <f t="shared" si="95"/>
        <v>gaurav.pandey</v>
      </c>
      <c r="DM26" t="str">
        <f t="shared" si="96"/>
        <v>gaurav.PANDEY@wifi WORLD india.com</v>
      </c>
      <c r="DN26" t="str">
        <f t="shared" si="97"/>
        <v>gaurav</v>
      </c>
      <c r="DO26" t="str">
        <f t="shared" si="98"/>
        <v>PANDEY</v>
      </c>
      <c r="DP26" t="str">
        <f t="shared" si="99"/>
        <v>PANDEY,gaurav</v>
      </c>
      <c r="DQ26" t="str">
        <f t="shared" si="100"/>
        <v>Name has13characters</v>
      </c>
      <c r="DR26" t="str">
        <f t="shared" si="101"/>
        <v>Check Domain</v>
      </c>
      <c r="DS26" t="str">
        <f t="shared" si="102"/>
        <v>(051</v>
      </c>
      <c r="DT26" t="str">
        <f t="shared" si="103"/>
        <v>CUS025</v>
      </c>
      <c r="DU26" t="str">
        <f t="shared" si="104"/>
        <v>gpandey</v>
      </c>
      <c r="DV26" t="str">
        <f t="shared" si="105"/>
        <v>prd025</v>
      </c>
      <c r="DW26" t="str">
        <f t="shared" si="106"/>
        <v>(0512) 8765-4321</v>
      </c>
      <c r="DX26" t="str">
        <f t="shared" si="107"/>
        <v>2024</v>
      </c>
      <c r="DY26" t="str">
        <f t="shared" si="108"/>
        <v>g</v>
      </c>
      <c r="DZ26" t="str">
        <f t="shared" si="109"/>
        <v>gauravPANDEY@wifi WORLD india.com</v>
      </c>
      <c r="EA26" t="str">
        <f t="shared" si="110"/>
        <v>Retail</v>
      </c>
      <c r="EB26" t="str">
        <f t="shared" si="111"/>
        <v>mail.in</v>
      </c>
      <c r="EC26">
        <f t="shared" si="112"/>
        <v>21</v>
      </c>
      <c r="ED26" t="str">
        <f t="shared" si="113"/>
        <v>ka25</v>
      </c>
      <c r="EE26" t="str">
        <f t="shared" si="114"/>
        <v>kanpur- Uttar Pradesh(208002)</v>
      </c>
      <c r="EF26" t="str">
        <f t="shared" si="115"/>
        <v>051287654321</v>
      </c>
      <c r="EG26" t="str">
        <f t="shared" si="116"/>
        <v>CUST-025</v>
      </c>
      <c r="EH26" t="str">
        <f t="shared" si="117"/>
        <v>public</v>
      </c>
      <c r="EI26" t="str">
        <f t="shared" si="118"/>
        <v>PRD-025-07Jul24</v>
      </c>
      <c r="EJ26" t="str">
        <f t="shared" si="119"/>
        <v>Retail</v>
      </c>
    </row>
    <row r="27" spans="1:140" x14ac:dyDescent="0.3">
      <c r="A27" t="s">
        <v>345</v>
      </c>
      <c r="B27" t="s">
        <v>1468</v>
      </c>
      <c r="C27" t="s">
        <v>1469</v>
      </c>
      <c r="D27" t="s">
        <v>346</v>
      </c>
      <c r="E27" t="s">
        <v>347</v>
      </c>
      <c r="F27" t="s">
        <v>348</v>
      </c>
      <c r="G27" t="s">
        <v>349</v>
      </c>
      <c r="H27" t="s">
        <v>1621</v>
      </c>
      <c r="I27" t="s">
        <v>1622</v>
      </c>
      <c r="J27">
        <v>800001</v>
      </c>
      <c r="K27" t="str">
        <f t="shared" si="9"/>
        <v>PATNA, Bihar,800001</v>
      </c>
      <c r="L27" t="s">
        <v>350</v>
      </c>
      <c r="M27" t="s">
        <v>351</v>
      </c>
      <c r="N27" t="s">
        <v>352</v>
      </c>
      <c r="O27" t="s">
        <v>50</v>
      </c>
      <c r="P27" t="s">
        <v>353</v>
      </c>
      <c r="Q27" t="s">
        <v>354</v>
      </c>
      <c r="R27" t="s">
        <v>355</v>
      </c>
      <c r="S27" t="s">
        <v>356</v>
      </c>
      <c r="T27" t="s">
        <v>357</v>
      </c>
      <c r="U27" t="str">
        <f t="shared" si="0"/>
        <v xml:space="preserve">  PRIYANKA YADAV</v>
      </c>
      <c r="V27" t="str">
        <f t="shared" si="1"/>
        <v>priyanka_yadav@email.com</v>
      </c>
      <c r="W27" t="str">
        <f t="shared" si="10"/>
        <v>Patna</v>
      </c>
      <c r="X27" t="str">
        <f t="shared" si="2"/>
        <v>PRIYANKA yadav</v>
      </c>
      <c r="Y27" t="str">
        <f t="shared" si="11"/>
        <v>RETAIL</v>
      </c>
      <c r="Z27" t="str">
        <f t="shared" si="12"/>
        <v>power backup solutions</v>
      </c>
      <c r="AA27" t="str">
        <f t="shared" si="13"/>
        <v>Operations Manager</v>
      </c>
      <c r="AB27" t="str">
        <f t="shared" si="3"/>
        <v>951 Boring Road</v>
      </c>
      <c r="AC27" t="str">
        <f t="shared" si="14"/>
        <v>DEPT-OPS-026</v>
      </c>
      <c r="AD27" t="str">
        <f t="shared" si="15"/>
        <v>Apc 1100Va Ups</v>
      </c>
      <c r="AE27" t="str">
        <f t="shared" si="16"/>
        <v>www.powerbackup.com</v>
      </c>
      <c r="AF27" t="str">
        <f t="shared" si="17"/>
        <v>Battery backup time query</v>
      </c>
      <c r="AG27" t="str">
        <f t="shared" si="4"/>
        <v>CUST026</v>
      </c>
      <c r="AH27" t="str">
        <f t="shared" si="18"/>
        <v>PRD-UPS-026</v>
      </c>
      <c r="AI27" t="str">
        <f t="shared" si="5"/>
        <v xml:space="preserve">  Priyanka Yadav</v>
      </c>
      <c r="AJ27" t="str">
        <f t="shared" si="6"/>
        <v>0612-3456789</v>
      </c>
      <c r="AK27" t="str">
        <f t="shared" si="19"/>
        <v>retail</v>
      </c>
      <c r="AL27" t="str">
        <f t="shared" si="20"/>
        <v>Power Backup Solutions</v>
      </c>
      <c r="AM27" t="str">
        <f t="shared" si="7"/>
        <v>priyanka_yadav@email.com</v>
      </c>
      <c r="AN27" t="str">
        <f t="shared" si="21"/>
        <v>OPERATIONS MANAGER</v>
      </c>
      <c r="AO27" t="str">
        <f t="shared" si="8"/>
        <v>cust026-  PRIYANKA yadav</v>
      </c>
      <c r="AP27" t="str">
        <f t="shared" si="22"/>
        <v>PRIYANKA yadav</v>
      </c>
      <c r="AQ27" t="str">
        <f t="shared" si="23"/>
        <v>PATNA, Bihar</v>
      </c>
      <c r="AR27" t="str">
        <f t="shared" si="24"/>
        <v>PRD-UPS-026:apc 1100VA UPS</v>
      </c>
      <c r="AS27" t="str">
        <f t="shared" si="25"/>
        <v>priyanka_yadav@email.com|0612-3456789</v>
      </c>
      <c r="AT27" t="str">
        <f t="shared" si="26"/>
        <v>POWER backup solutions-Operations Manager</v>
      </c>
      <c r="AU27" t="str">
        <f t="shared" si="27"/>
        <v>Retail 14-Jul-2024</v>
      </c>
      <c r="AV27" t="str">
        <f t="shared" si="28"/>
        <v xml:space="preserve">  951 Boring Road  ,PATNA, Bihar,800001</v>
      </c>
      <c r="AW27" t="str">
        <f t="shared" si="29"/>
        <v>dept-ops-026_Operations Manager</v>
      </c>
      <c r="AX27" t="str">
        <f t="shared" si="30"/>
        <v>Customer ID:cust026</v>
      </c>
      <c r="AY27" t="str">
        <f t="shared" si="31"/>
        <v>Email:priyanka_yadav@email.com</v>
      </c>
      <c r="AZ27" t="str">
        <f t="shared" si="32"/>
        <v>www.powerbackup.com/contact</v>
      </c>
      <c r="BA27" t="str">
        <f t="shared" si="33"/>
        <v>Order Placed On 14-Jul-2024</v>
      </c>
      <c r="BB27" t="str">
        <f t="shared" si="34"/>
        <v xml:space="preserve">  PRIYANKA yadav(Retail)</v>
      </c>
      <c r="BC27" t="str">
        <f t="shared" si="35"/>
        <v>PRD-UPS-026/apc 1100VA UPS</v>
      </c>
      <c r="BD27" t="str">
        <f t="shared" si="36"/>
        <v>call 0612-3456789</v>
      </c>
      <c r="BE27" t="str">
        <f t="shared" si="37"/>
        <v>POWER backup solutions-dept-ops-026</v>
      </c>
      <c r="BF27" t="str">
        <f t="shared" si="38"/>
        <v>cust026-26</v>
      </c>
      <c r="BG27" t="str">
        <f t="shared" si="39"/>
        <v>Customer:   PRIYANKA yadav,Type: Retail</v>
      </c>
      <c r="BH27" t="str">
        <f t="shared" si="40"/>
        <v>PATNA,india</v>
      </c>
      <c r="BI27" t="str">
        <f t="shared" si="41"/>
        <v>cust</v>
      </c>
      <c r="BJ27" t="str">
        <f t="shared" si="42"/>
        <v>priyanka_y</v>
      </c>
      <c r="BK27" t="str">
        <f t="shared" si="43"/>
        <v xml:space="preserve">PRIYANKA </v>
      </c>
      <c r="BL27" t="str">
        <f t="shared" si="44"/>
        <v>PRD-U</v>
      </c>
      <c r="BM27" t="str">
        <f t="shared" si="45"/>
        <v>Ret</v>
      </c>
      <c r="BN27" t="str">
        <f t="shared" si="46"/>
        <v>0612-345</v>
      </c>
      <c r="BO27" t="str">
        <f t="shared" si="47"/>
        <v>email.com</v>
      </c>
      <c r="BP27" t="str">
        <f t="shared" si="48"/>
        <v>PATNA</v>
      </c>
      <c r="BQ27" t="str">
        <f t="shared" si="49"/>
        <v>t026</v>
      </c>
      <c r="BR27" t="str">
        <f t="shared" si="50"/>
        <v>KA yadav</v>
      </c>
      <c r="BS27" t="str">
        <f t="shared" si="51"/>
        <v>PS-026</v>
      </c>
      <c r="BU27" t="str">
        <f t="shared" si="52"/>
        <v>56789</v>
      </c>
      <c r="BV27" t="str">
        <f t="shared" si="53"/>
        <v>800001</v>
      </c>
      <c r="BW27" t="str">
        <f t="shared" si="54"/>
        <v xml:space="preserve"> Bihar</v>
      </c>
      <c r="BX27" t="str">
        <f t="shared" si="55"/>
        <v>026</v>
      </c>
      <c r="BY27" t="str">
        <f t="shared" si="56"/>
        <v>ops</v>
      </c>
      <c r="BZ27" t="str">
        <f t="shared" si="57"/>
        <v>UPS</v>
      </c>
      <c r="CA27" t="str">
        <f t="shared" si="58"/>
        <v>Jul</v>
      </c>
      <c r="CB27" t="str">
        <f t="shared" si="59"/>
        <v>WER b</v>
      </c>
      <c r="CC27">
        <f t="shared" si="60"/>
        <v>15</v>
      </c>
      <c r="CD27">
        <f t="shared" si="61"/>
        <v>16</v>
      </c>
      <c r="CE27">
        <f t="shared" si="62"/>
        <v>24</v>
      </c>
      <c r="CF27">
        <f t="shared" si="63"/>
        <v>1</v>
      </c>
      <c r="CG27">
        <f t="shared" si="64"/>
        <v>14</v>
      </c>
      <c r="CH27">
        <f t="shared" si="65"/>
        <v>6</v>
      </c>
      <c r="CI27">
        <f t="shared" si="66"/>
        <v>7</v>
      </c>
      <c r="CJ27">
        <f t="shared" si="67"/>
        <v>1</v>
      </c>
      <c r="CK27">
        <f t="shared" si="68"/>
        <v>12</v>
      </c>
      <c r="CL27">
        <f t="shared" si="69"/>
        <v>4</v>
      </c>
      <c r="CM27">
        <f t="shared" si="70"/>
        <v>19</v>
      </c>
      <c r="CN27">
        <f t="shared" si="71"/>
        <v>21</v>
      </c>
      <c r="CO27">
        <f t="shared" si="72"/>
        <v>22</v>
      </c>
      <c r="CP27">
        <f t="shared" si="73"/>
        <v>8</v>
      </c>
      <c r="CQ27">
        <f t="shared" si="74"/>
        <v>12</v>
      </c>
      <c r="CR27" t="str">
        <f t="shared" si="75"/>
        <v>not found</v>
      </c>
      <c r="CS27">
        <f t="shared" si="76"/>
        <v>6</v>
      </c>
      <c r="CT27">
        <f t="shared" si="77"/>
        <v>8</v>
      </c>
      <c r="CU27">
        <f t="shared" si="78"/>
        <v>25</v>
      </c>
      <c r="CV27">
        <f t="shared" si="79"/>
        <v>3</v>
      </c>
      <c r="CW27" t="str">
        <f t="shared" si="80"/>
        <v>Customer ID026</v>
      </c>
      <c r="CX27" t="str">
        <f t="shared" si="81"/>
        <v>priyanka_yadav[AT]email.com</v>
      </c>
      <c r="CY27" t="str">
        <f t="shared" si="82"/>
        <v>Product-UPS-026</v>
      </c>
      <c r="CZ27" t="str">
        <f t="shared" si="83"/>
        <v>PRD_UPS_026</v>
      </c>
      <c r="DA27" t="str">
        <f t="shared" si="84"/>
        <v>DEPARTMENT-OPS-026</v>
      </c>
      <c r="DB27" t="str">
        <f t="shared" si="85"/>
        <v>PRIYANKA_YADAV@EMAIL.in</v>
      </c>
      <c r="DC27" t="str">
        <f t="shared" si="86"/>
        <v>https://www..POWERBACKUP.COM</v>
      </c>
      <c r="DD27" t="str">
        <f t="shared" si="87"/>
        <v>//PRIYANKA/yadav</v>
      </c>
      <c r="DE27" t="str">
        <f t="shared" si="88"/>
        <v>Retail</v>
      </c>
      <c r="DF27" t="str">
        <f t="shared" si="89"/>
        <v>PATNA; Bihar;800001</v>
      </c>
      <c r="DG27" t="str">
        <f t="shared" si="90"/>
        <v>Operations Manager</v>
      </c>
      <c r="DH27" t="str">
        <f t="shared" si="91"/>
        <v>0612-3456789</v>
      </c>
      <c r="DI27" t="str">
        <f t="shared" si="92"/>
        <v>POWER backup solutions</v>
      </c>
      <c r="DJ27" t="str">
        <f t="shared" si="93"/>
        <v>www.powerbackup.com</v>
      </c>
      <c r="DK27" t="str">
        <f t="shared" si="94"/>
        <v xml:space="preserve">    951  Boring  Road    </v>
      </c>
      <c r="DL27" t="str">
        <f t="shared" si="95"/>
        <v>priyanka_yadav</v>
      </c>
      <c r="DM27" t="str">
        <f t="shared" si="96"/>
        <v>PRIYANKA.yadav@POWER backup solutions.com</v>
      </c>
      <c r="DN27" t="str">
        <f t="shared" si="97"/>
        <v>PRIYANKA</v>
      </c>
      <c r="DO27" t="str">
        <f t="shared" si="98"/>
        <v>yadav</v>
      </c>
      <c r="DP27" t="str">
        <f t="shared" si="99"/>
        <v>yadav,PRIYANKA</v>
      </c>
      <c r="DQ27" t="str">
        <f t="shared" si="100"/>
        <v>Name has14characters</v>
      </c>
      <c r="DR27" t="str">
        <f t="shared" si="101"/>
        <v>Valid</v>
      </c>
      <c r="DS27" t="str">
        <f t="shared" si="102"/>
        <v>0612</v>
      </c>
      <c r="DT27" t="str">
        <f t="shared" si="103"/>
        <v>cus026</v>
      </c>
      <c r="DU27" t="str">
        <f t="shared" si="104"/>
        <v>Pyadav</v>
      </c>
      <c r="DV27" t="str">
        <f t="shared" si="105"/>
        <v>PRD026</v>
      </c>
      <c r="DW27" t="str">
        <f t="shared" si="106"/>
        <v>0612-3456789</v>
      </c>
      <c r="DX27" t="str">
        <f t="shared" si="107"/>
        <v>2024</v>
      </c>
      <c r="DY27" t="str">
        <f t="shared" si="108"/>
        <v>P</v>
      </c>
      <c r="DZ27" t="str">
        <f t="shared" si="109"/>
        <v>PRIYANKAyadav@POWER backup solutions.com</v>
      </c>
      <c r="EA27" t="str">
        <f t="shared" si="110"/>
        <v>Retail</v>
      </c>
      <c r="EB27" t="str">
        <f t="shared" si="111"/>
        <v>email.com</v>
      </c>
      <c r="EC27">
        <f t="shared" si="112"/>
        <v>14</v>
      </c>
      <c r="ED27" t="str">
        <f t="shared" si="113"/>
        <v>PA26</v>
      </c>
      <c r="EE27" t="str">
        <f t="shared" si="114"/>
        <v>PATNA- Bihar(800001)</v>
      </c>
      <c r="EF27" t="str">
        <f t="shared" si="115"/>
        <v>06123456789</v>
      </c>
      <c r="EG27" t="str">
        <f t="shared" si="116"/>
        <v>CUST-026</v>
      </c>
      <c r="EH27" t="str">
        <f t="shared" si="117"/>
        <v>public</v>
      </c>
      <c r="EI27" t="str">
        <f t="shared" si="118"/>
        <v>PRD-026-14Jul24</v>
      </c>
      <c r="EJ27" t="str">
        <f t="shared" si="119"/>
        <v>Retail</v>
      </c>
    </row>
    <row r="28" spans="1:140" x14ac:dyDescent="0.3">
      <c r="A28" t="s">
        <v>358</v>
      </c>
      <c r="B28" t="s">
        <v>1470</v>
      </c>
      <c r="C28" t="s">
        <v>1471</v>
      </c>
      <c r="D28" t="s">
        <v>359</v>
      </c>
      <c r="E28" t="s">
        <v>360</v>
      </c>
      <c r="F28" t="s">
        <v>361</v>
      </c>
      <c r="G28" t="s">
        <v>362</v>
      </c>
      <c r="H28" t="s">
        <v>1623</v>
      </c>
      <c r="I28" t="s">
        <v>1624</v>
      </c>
      <c r="J28">
        <v>492001</v>
      </c>
      <c r="K28" t="str">
        <f t="shared" si="9"/>
        <v>Raipur, CHHATTISGARH,492001</v>
      </c>
      <c r="L28" t="s">
        <v>363</v>
      </c>
      <c r="M28" t="s">
        <v>364</v>
      </c>
      <c r="N28" t="s">
        <v>365</v>
      </c>
      <c r="O28" t="s">
        <v>36</v>
      </c>
      <c r="P28" t="s">
        <v>366</v>
      </c>
      <c r="Q28" t="s">
        <v>367</v>
      </c>
      <c r="R28" t="s">
        <v>368</v>
      </c>
      <c r="S28" t="s">
        <v>369</v>
      </c>
      <c r="T28" t="s">
        <v>370</v>
      </c>
      <c r="U28" t="str">
        <f t="shared" si="0"/>
        <v xml:space="preserve">DEEPAK JAIN  </v>
      </c>
      <c r="V28" t="str">
        <f t="shared" si="1"/>
        <v>deepak.jain@company.co.in</v>
      </c>
      <c r="W28" t="str">
        <f t="shared" si="10"/>
        <v>Raipur</v>
      </c>
      <c r="X28" t="str">
        <f t="shared" si="2"/>
        <v>deepak JAIN</v>
      </c>
      <c r="Y28" t="str">
        <f t="shared" si="11"/>
        <v>WHOLESALE</v>
      </c>
      <c r="Z28" t="str">
        <f t="shared" si="12"/>
        <v xml:space="preserve">  electrical solutions pvt ltd  </v>
      </c>
      <c r="AA28" t="str">
        <f t="shared" si="13"/>
        <v>Electrical Head</v>
      </c>
      <c r="AB28" t="str">
        <f t="shared" si="3"/>
        <v>147 Civil Lines</v>
      </c>
      <c r="AC28" t="str">
        <f t="shared" si="14"/>
        <v>DEPT-ELEC-027</v>
      </c>
      <c r="AD28" t="str">
        <f t="shared" si="15"/>
        <v>V-Guard Voltage Stabilizer</v>
      </c>
      <c r="AE28" t="str">
        <f t="shared" si="16"/>
        <v>https://electrical.in</v>
      </c>
      <c r="AF28" t="str">
        <f t="shared" si="17"/>
        <v>Capacity recommendation needed</v>
      </c>
      <c r="AG28" t="str">
        <f t="shared" si="4"/>
        <v>CUST027</v>
      </c>
      <c r="AH28" t="str">
        <f t="shared" si="18"/>
        <v>PRD-STAB-027</v>
      </c>
      <c r="AI28" t="str">
        <f t="shared" si="5"/>
        <v xml:space="preserve">Deepak Jain  </v>
      </c>
      <c r="AJ28" t="str">
        <f t="shared" si="6"/>
        <v>+91-9988112233</v>
      </c>
      <c r="AK28" t="str">
        <f t="shared" si="19"/>
        <v>wholesale</v>
      </c>
      <c r="AL28" t="str">
        <f t="shared" si="20"/>
        <v>Electrical Solutions Pvt Ltd</v>
      </c>
      <c r="AM28" t="str">
        <f t="shared" si="7"/>
        <v>deepak.jain@company.co.in</v>
      </c>
      <c r="AN28" t="str">
        <f t="shared" si="21"/>
        <v>ELECTRICAL HEAD</v>
      </c>
      <c r="AO28" t="str">
        <f t="shared" si="8"/>
        <v xml:space="preserve">Cust027-deepak JAIN  </v>
      </c>
      <c r="AP28" t="str">
        <f t="shared" si="22"/>
        <v>deepak JAIN</v>
      </c>
      <c r="AQ28" t="str">
        <f t="shared" si="23"/>
        <v>Raipur, CHHATTISGARH</v>
      </c>
      <c r="AR28" t="str">
        <f t="shared" si="24"/>
        <v>prd-stab-027:V-GUARD voltage STABILIZER</v>
      </c>
      <c r="AS28" t="str">
        <f t="shared" si="25"/>
        <v>DEEPAK.JAIN@COMPANY.CO.IN|+91-9988112233</v>
      </c>
      <c r="AT28" t="str">
        <f t="shared" si="26"/>
        <v xml:space="preserve">  electrical SOLUTIONS pvt ltd  -ELECTRICAL HEAD</v>
      </c>
      <c r="AU28" t="str">
        <f t="shared" si="27"/>
        <v>wholesale 21-Jul-2024</v>
      </c>
      <c r="AV28" t="str">
        <f t="shared" si="28"/>
        <v>147 Civil Lines,Raipur, CHHATTISGARH,492001</v>
      </c>
      <c r="AW28" t="str">
        <f t="shared" si="29"/>
        <v>DEPT-ELEC-027_ELECTRICAL HEAD</v>
      </c>
      <c r="AX28" t="str">
        <f t="shared" si="30"/>
        <v>Customer ID:Cust027</v>
      </c>
      <c r="AY28" t="str">
        <f t="shared" si="31"/>
        <v>Email:DEEPAK.JAIN@COMPANY.CO.IN</v>
      </c>
      <c r="AZ28" t="str">
        <f t="shared" si="32"/>
        <v>https://electrical.in/contact</v>
      </c>
      <c r="BA28" t="str">
        <f t="shared" si="33"/>
        <v>Order Placed On 21-Jul-2024</v>
      </c>
      <c r="BB28" t="str">
        <f t="shared" si="34"/>
        <v>deepak JAIN  (wholesale)</v>
      </c>
      <c r="BC28" t="str">
        <f t="shared" si="35"/>
        <v>prd-stab-027/V-GUARD voltage STABILIZER</v>
      </c>
      <c r="BD28" t="str">
        <f t="shared" si="36"/>
        <v>call +91-9988112233</v>
      </c>
      <c r="BE28" t="str">
        <f t="shared" si="37"/>
        <v xml:space="preserve">  electrical SOLUTIONS pvt ltd  -DEPT-ELEC-027</v>
      </c>
      <c r="BF28" t="str">
        <f t="shared" si="38"/>
        <v>Cust027-27</v>
      </c>
      <c r="BG28" t="str">
        <f t="shared" si="39"/>
        <v>Customer: deepak JAIN  ,Type: wholesale</v>
      </c>
      <c r="BH28" t="str">
        <f t="shared" si="40"/>
        <v>Raipur,india</v>
      </c>
      <c r="BI28" t="str">
        <f t="shared" si="41"/>
        <v>Cust</v>
      </c>
      <c r="BJ28" t="str">
        <f t="shared" si="42"/>
        <v>DEEPAK.JAI</v>
      </c>
      <c r="BK28" t="str">
        <f t="shared" si="43"/>
        <v xml:space="preserve">deepak </v>
      </c>
      <c r="BL28" t="str">
        <f t="shared" si="44"/>
        <v>prd-s</v>
      </c>
      <c r="BM28" t="str">
        <f t="shared" si="45"/>
        <v>who</v>
      </c>
      <c r="BN28" t="str">
        <f t="shared" si="46"/>
        <v>+91-9988</v>
      </c>
      <c r="BO28" t="str">
        <f t="shared" si="47"/>
        <v>COMPANY.CO.IN</v>
      </c>
      <c r="BP28" t="str">
        <f t="shared" si="48"/>
        <v>Raipur</v>
      </c>
      <c r="BQ28" t="str">
        <f t="shared" si="49"/>
        <v>t027</v>
      </c>
      <c r="BR28" t="str">
        <f t="shared" si="50"/>
        <v>k JAIN</v>
      </c>
      <c r="BS28" t="str">
        <f t="shared" si="51"/>
        <v>ab-027</v>
      </c>
      <c r="BU28" t="str">
        <f t="shared" si="52"/>
        <v>12233</v>
      </c>
      <c r="BV28" t="str">
        <f t="shared" si="53"/>
        <v>492001</v>
      </c>
      <c r="BW28" t="str">
        <f t="shared" si="54"/>
        <v xml:space="preserve"> CHHATTISGARH</v>
      </c>
      <c r="BX28" t="str">
        <f t="shared" si="55"/>
        <v>027</v>
      </c>
      <c r="BY28" t="str">
        <f t="shared" si="56"/>
        <v>ELEC</v>
      </c>
      <c r="BZ28" t="str">
        <f t="shared" si="57"/>
        <v>stab</v>
      </c>
      <c r="CA28" t="str">
        <f t="shared" si="58"/>
        <v>Jul</v>
      </c>
      <c r="CB28" t="str">
        <f t="shared" si="59"/>
        <v>elect</v>
      </c>
      <c r="CC28">
        <f t="shared" si="60"/>
        <v>12</v>
      </c>
      <c r="CD28">
        <f t="shared" si="61"/>
        <v>13</v>
      </c>
      <c r="CE28">
        <f t="shared" si="62"/>
        <v>25</v>
      </c>
      <c r="CF28">
        <f t="shared" si="63"/>
        <v>7</v>
      </c>
      <c r="CG28">
        <f t="shared" si="64"/>
        <v>26</v>
      </c>
      <c r="CH28">
        <f t="shared" si="65"/>
        <v>7</v>
      </c>
      <c r="CI28">
        <f t="shared" si="66"/>
        <v>7</v>
      </c>
      <c r="CJ28" t="str">
        <f t="shared" si="67"/>
        <v>Not found</v>
      </c>
      <c r="CK28">
        <f t="shared" si="68"/>
        <v>14</v>
      </c>
      <c r="CL28">
        <f t="shared" si="69"/>
        <v>4</v>
      </c>
      <c r="CM28">
        <f t="shared" si="70"/>
        <v>15</v>
      </c>
      <c r="CN28">
        <f t="shared" si="71"/>
        <v>7</v>
      </c>
      <c r="CO28">
        <f t="shared" si="72"/>
        <v>28</v>
      </c>
      <c r="CP28">
        <f t="shared" si="73"/>
        <v>9</v>
      </c>
      <c r="CQ28">
        <f t="shared" si="74"/>
        <v>13</v>
      </c>
      <c r="CR28">
        <f t="shared" si="75"/>
        <v>7</v>
      </c>
      <c r="CS28">
        <f t="shared" si="76"/>
        <v>9</v>
      </c>
      <c r="CT28">
        <f t="shared" si="77"/>
        <v>9</v>
      </c>
      <c r="CU28">
        <f t="shared" si="78"/>
        <v>30</v>
      </c>
      <c r="CV28">
        <f t="shared" si="79"/>
        <v>3</v>
      </c>
      <c r="CW28" t="str">
        <f t="shared" si="80"/>
        <v>Customer ID027</v>
      </c>
      <c r="CX28" t="str">
        <f t="shared" si="81"/>
        <v>DEEPAK.JAIN[AT]COMPANY.CO.IN</v>
      </c>
      <c r="CY28" t="str">
        <f t="shared" si="82"/>
        <v>Product-STAB-027</v>
      </c>
      <c r="CZ28" t="str">
        <f t="shared" si="83"/>
        <v>prd_stab_027</v>
      </c>
      <c r="DA28" t="str">
        <f t="shared" si="84"/>
        <v>DEPARTMENT-ELEC-027</v>
      </c>
      <c r="DB28" t="str">
        <f t="shared" si="85"/>
        <v>DEEPAK.JAIN@COMPANY.CO.IN</v>
      </c>
      <c r="DC28" t="str">
        <f t="shared" si="86"/>
        <v>HTTPS://ELECTRICAL.IN</v>
      </c>
      <c r="DD28" t="str">
        <f t="shared" si="87"/>
        <v>deepak/JAIN//</v>
      </c>
      <c r="DE28" t="str">
        <f t="shared" si="88"/>
        <v>wholesale</v>
      </c>
      <c r="DF28" t="str">
        <f t="shared" si="89"/>
        <v>Raipur; CHHATTISGARH;492001</v>
      </c>
      <c r="DG28" t="str">
        <f t="shared" si="90"/>
        <v>ELECTRICAL HEAD</v>
      </c>
      <c r="DH28" t="str">
        <f t="shared" si="91"/>
        <v>+91-9988112233</v>
      </c>
      <c r="DI28" t="str">
        <f t="shared" si="92"/>
        <v xml:space="preserve">  electrical SOLUTIONS pvt ltd  </v>
      </c>
      <c r="DJ28" t="str">
        <f t="shared" si="93"/>
        <v>https:://electrical.in</v>
      </c>
      <c r="DK28" t="str">
        <f t="shared" si="94"/>
        <v>147  Civil  Lines</v>
      </c>
      <c r="DL28" t="str">
        <f t="shared" si="95"/>
        <v>DEEPAK.JAIN</v>
      </c>
      <c r="DM28" t="str">
        <f t="shared" si="96"/>
        <v>deepak.JAIN@  electrical SOLUTIONS pvt ltd  .com</v>
      </c>
      <c r="DN28" t="str">
        <f t="shared" si="97"/>
        <v>deepak</v>
      </c>
      <c r="DO28" t="str">
        <f t="shared" si="98"/>
        <v>JAIN</v>
      </c>
      <c r="DP28" t="str">
        <f t="shared" si="99"/>
        <v>JAIN,deepak</v>
      </c>
      <c r="DQ28" t="str">
        <f t="shared" si="100"/>
        <v>Name has11characters</v>
      </c>
      <c r="DR28" t="str">
        <f t="shared" si="101"/>
        <v>Check Domain</v>
      </c>
      <c r="DS28" t="str">
        <f t="shared" si="102"/>
        <v>+91-</v>
      </c>
      <c r="DT28" t="str">
        <f t="shared" si="103"/>
        <v>Cus027</v>
      </c>
      <c r="DU28" t="str">
        <f t="shared" si="104"/>
        <v>djain</v>
      </c>
      <c r="DV28" t="str">
        <f t="shared" si="105"/>
        <v>prd027</v>
      </c>
      <c r="DW28" t="str">
        <f t="shared" si="106"/>
        <v>+91-9988112233</v>
      </c>
      <c r="DX28" t="str">
        <f t="shared" si="107"/>
        <v>2024</v>
      </c>
      <c r="DY28" t="str">
        <f t="shared" si="108"/>
        <v>d</v>
      </c>
      <c r="DZ28" t="str">
        <f t="shared" si="109"/>
        <v>deepakJAIN@  electrical SOLUTIONS pvt ltd  .com</v>
      </c>
      <c r="EA28" t="str">
        <f t="shared" si="110"/>
        <v>Wholesale</v>
      </c>
      <c r="EB28" t="str">
        <f t="shared" si="111"/>
        <v>COMPANY.CO.IN</v>
      </c>
      <c r="EC28">
        <f t="shared" si="112"/>
        <v>26</v>
      </c>
      <c r="ED28" t="str">
        <f t="shared" si="113"/>
        <v>Ra27</v>
      </c>
      <c r="EE28" t="str">
        <f t="shared" si="114"/>
        <v>Raipur- CHHATTISGARH(492001)</v>
      </c>
      <c r="EF28" t="str">
        <f t="shared" si="115"/>
        <v>919988112233</v>
      </c>
      <c r="EG28" t="str">
        <f t="shared" si="116"/>
        <v>CUST-027</v>
      </c>
      <c r="EH28" t="str">
        <f t="shared" si="117"/>
        <v>Private</v>
      </c>
      <c r="EI28" t="str">
        <f t="shared" si="118"/>
        <v>PRD-027-21Jul24</v>
      </c>
      <c r="EJ28" t="str">
        <f t="shared" si="119"/>
        <v>Wholesale</v>
      </c>
    </row>
    <row r="29" spans="1:140" x14ac:dyDescent="0.3">
      <c r="A29" t="s">
        <v>371</v>
      </c>
      <c r="B29" t="s">
        <v>1472</v>
      </c>
      <c r="C29" t="s">
        <v>1473</v>
      </c>
      <c r="D29" t="s">
        <v>372</v>
      </c>
      <c r="E29" t="s">
        <v>373</v>
      </c>
      <c r="F29" t="s">
        <v>374</v>
      </c>
      <c r="G29" t="s">
        <v>375</v>
      </c>
      <c r="H29" t="s">
        <v>1625</v>
      </c>
      <c r="I29" t="s">
        <v>1626</v>
      </c>
      <c r="J29">
        <v>141002</v>
      </c>
      <c r="K29" t="str">
        <f t="shared" si="9"/>
        <v>ludhiana, PUNJAB,141002</v>
      </c>
      <c r="L29" t="s">
        <v>376</v>
      </c>
      <c r="M29" t="s">
        <v>377</v>
      </c>
      <c r="N29" t="s">
        <v>378</v>
      </c>
      <c r="O29" t="s">
        <v>50</v>
      </c>
      <c r="P29" t="s">
        <v>379</v>
      </c>
      <c r="Q29" t="s">
        <v>380</v>
      </c>
      <c r="R29" t="s">
        <v>381</v>
      </c>
      <c r="S29" t="s">
        <v>382</v>
      </c>
      <c r="T29" t="s">
        <v>383</v>
      </c>
      <c r="U29" t="str">
        <f t="shared" si="0"/>
        <v>NIDHI KHANNA</v>
      </c>
      <c r="V29" t="str">
        <f t="shared" si="1"/>
        <v>nidhi.khanna@mail.in</v>
      </c>
      <c r="W29" t="str">
        <f t="shared" si="10"/>
        <v>Ludhiana</v>
      </c>
      <c r="X29" t="str">
        <f t="shared" si="2"/>
        <v>nidhi khanna</v>
      </c>
      <c r="Y29" t="str">
        <f t="shared" si="11"/>
        <v>RETAIL</v>
      </c>
      <c r="Z29" t="str">
        <f t="shared" si="12"/>
        <v>inverter store</v>
      </c>
      <c r="AA29" t="str">
        <f t="shared" si="13"/>
        <v>Sales Head</v>
      </c>
      <c r="AB29" t="str">
        <f t="shared" si="3"/>
        <v>258 Model Town</v>
      </c>
      <c r="AC29" t="str">
        <f t="shared" si="14"/>
        <v>DEPT-SALES-028</v>
      </c>
      <c r="AD29" t="str">
        <f t="shared" si="15"/>
        <v>Luminous 1500Va Inverter</v>
      </c>
      <c r="AE29" t="str">
        <f t="shared" si="16"/>
        <v>www.inverters.com</v>
      </c>
      <c r="AF29" t="str">
        <f t="shared" si="17"/>
        <v>Installation charges query</v>
      </c>
      <c r="AG29" t="str">
        <f t="shared" si="4"/>
        <v>CUST028</v>
      </c>
      <c r="AH29" t="str">
        <f t="shared" si="18"/>
        <v>PRD-INV-028</v>
      </c>
      <c r="AI29" t="str">
        <f t="shared" si="5"/>
        <v>Nidhi Khanna</v>
      </c>
      <c r="AJ29" t="str">
        <f t="shared" si="6"/>
        <v>(0161) 2468-9753</v>
      </c>
      <c r="AK29" t="str">
        <f t="shared" si="19"/>
        <v>retail</v>
      </c>
      <c r="AL29" t="str">
        <f t="shared" si="20"/>
        <v>Inverter Store</v>
      </c>
      <c r="AM29" t="str">
        <f t="shared" si="7"/>
        <v>nidhi.khanna@mail.in</v>
      </c>
      <c r="AN29" t="str">
        <f t="shared" si="21"/>
        <v>SALES HEAD</v>
      </c>
      <c r="AO29" t="str">
        <f t="shared" si="8"/>
        <v>CUST028-nidhi khanna</v>
      </c>
      <c r="AP29" t="str">
        <f t="shared" si="22"/>
        <v>nidhi khanna</v>
      </c>
      <c r="AQ29" t="str">
        <f t="shared" si="23"/>
        <v>ludhiana, PUNJAB</v>
      </c>
      <c r="AR29" t="str">
        <f t="shared" si="24"/>
        <v>prd-inv-028:LUMINOUS 1500VA inverter</v>
      </c>
      <c r="AS29" t="str">
        <f t="shared" si="25"/>
        <v>nidhi.khanna@mail.in|(0161) 2468-9753</v>
      </c>
      <c r="AT29" t="str">
        <f t="shared" si="26"/>
        <v>inverter STORE-sales HEAD</v>
      </c>
      <c r="AU29" t="str">
        <f t="shared" si="27"/>
        <v>Retail 28-Jul-2024</v>
      </c>
      <c r="AV29" t="str">
        <f t="shared" si="28"/>
        <v>258 Model Town,ludhiana, PUNJAB,141002</v>
      </c>
      <c r="AW29" t="str">
        <f t="shared" si="29"/>
        <v>dept-sales-028_sales HEAD</v>
      </c>
      <c r="AX29" t="str">
        <f t="shared" si="30"/>
        <v>Customer ID:CUST028</v>
      </c>
      <c r="AY29" t="str">
        <f t="shared" si="31"/>
        <v>Email:nidhi.khanna@mail.in</v>
      </c>
      <c r="AZ29" t="str">
        <f t="shared" si="32"/>
        <v>WWW.INVERTERS.COM/contact</v>
      </c>
      <c r="BA29" t="str">
        <f t="shared" si="33"/>
        <v>Order Placed On 28-Jul-2024</v>
      </c>
      <c r="BB29" t="str">
        <f t="shared" si="34"/>
        <v>nidhi khanna(Retail)</v>
      </c>
      <c r="BC29" t="str">
        <f t="shared" si="35"/>
        <v>prd-inv-028/LUMINOUS 1500VA inverter</v>
      </c>
      <c r="BD29" t="str">
        <f t="shared" si="36"/>
        <v>call (0161) 2468-9753</v>
      </c>
      <c r="BE29" t="str">
        <f t="shared" si="37"/>
        <v>inverter STORE-dept-sales-028</v>
      </c>
      <c r="BF29" t="str">
        <f t="shared" si="38"/>
        <v>CUST028-28</v>
      </c>
      <c r="BG29" t="str">
        <f t="shared" si="39"/>
        <v>Customer: nidhi khanna,Type: Retail</v>
      </c>
      <c r="BH29" t="str">
        <f t="shared" si="40"/>
        <v>ludhiana,india</v>
      </c>
      <c r="BI29" t="str">
        <f t="shared" si="41"/>
        <v>CUST</v>
      </c>
      <c r="BJ29" t="str">
        <f t="shared" si="42"/>
        <v>nidhi.khan</v>
      </c>
      <c r="BK29" t="str">
        <f t="shared" si="43"/>
        <v xml:space="preserve">nidhi </v>
      </c>
      <c r="BL29" t="str">
        <f t="shared" si="44"/>
        <v>prd-i</v>
      </c>
      <c r="BM29" t="str">
        <f t="shared" si="45"/>
        <v>Ret</v>
      </c>
      <c r="BN29" t="str">
        <f t="shared" si="46"/>
        <v>(0161) 2</v>
      </c>
      <c r="BO29" t="str">
        <f t="shared" si="47"/>
        <v>mail.in</v>
      </c>
      <c r="BP29" t="str">
        <f t="shared" si="48"/>
        <v>ludhiana</v>
      </c>
      <c r="BQ29" t="str">
        <f t="shared" si="49"/>
        <v>T028</v>
      </c>
      <c r="BR29" t="str">
        <f t="shared" si="50"/>
        <v>hanna</v>
      </c>
      <c r="BS29" t="str">
        <f t="shared" si="51"/>
        <v>nv-028</v>
      </c>
      <c r="BU29" t="str">
        <f t="shared" si="52"/>
        <v>-9753</v>
      </c>
      <c r="BV29" t="str">
        <f t="shared" si="53"/>
        <v>141002</v>
      </c>
      <c r="BW29" t="str">
        <f t="shared" si="54"/>
        <v xml:space="preserve"> PUNJAB</v>
      </c>
      <c r="BX29" t="str">
        <f t="shared" si="55"/>
        <v>028</v>
      </c>
      <c r="BY29" t="str">
        <f t="shared" si="56"/>
        <v>sales</v>
      </c>
      <c r="BZ29" t="str">
        <f t="shared" si="57"/>
        <v>inv</v>
      </c>
      <c r="CA29" t="str">
        <f t="shared" si="58"/>
        <v>Jul</v>
      </c>
      <c r="CB29" t="str">
        <f t="shared" si="59"/>
        <v>verte</v>
      </c>
      <c r="CC29">
        <f t="shared" si="60"/>
        <v>13</v>
      </c>
      <c r="CD29">
        <f t="shared" si="61"/>
        <v>12</v>
      </c>
      <c r="CE29">
        <f t="shared" si="62"/>
        <v>20</v>
      </c>
      <c r="CF29">
        <f t="shared" si="63"/>
        <v>6</v>
      </c>
      <c r="CG29">
        <f t="shared" si="64"/>
        <v>24</v>
      </c>
      <c r="CH29">
        <f t="shared" si="65"/>
        <v>9</v>
      </c>
      <c r="CI29">
        <f t="shared" si="66"/>
        <v>7</v>
      </c>
      <c r="CJ29" t="str">
        <f t="shared" si="67"/>
        <v>Not found</v>
      </c>
      <c r="CK29">
        <f t="shared" si="68"/>
        <v>16</v>
      </c>
      <c r="CL29">
        <f t="shared" si="69"/>
        <v>4</v>
      </c>
      <c r="CM29">
        <f t="shared" si="70"/>
        <v>14</v>
      </c>
      <c r="CN29">
        <f t="shared" si="71"/>
        <v>6</v>
      </c>
      <c r="CO29">
        <f t="shared" si="72"/>
        <v>14</v>
      </c>
      <c r="CP29">
        <f t="shared" si="73"/>
        <v>8</v>
      </c>
      <c r="CQ29">
        <f t="shared" si="74"/>
        <v>14</v>
      </c>
      <c r="CR29" t="str">
        <f t="shared" si="75"/>
        <v>not found</v>
      </c>
      <c r="CS29">
        <f t="shared" si="76"/>
        <v>6</v>
      </c>
      <c r="CT29">
        <f t="shared" si="77"/>
        <v>8</v>
      </c>
      <c r="CU29">
        <f t="shared" si="78"/>
        <v>30</v>
      </c>
      <c r="CV29">
        <f t="shared" si="79"/>
        <v>3</v>
      </c>
      <c r="CW29" t="str">
        <f t="shared" si="80"/>
        <v>Customer ID028</v>
      </c>
      <c r="CX29" t="str">
        <f t="shared" si="81"/>
        <v>nidhi.khanna[AT]mail.in</v>
      </c>
      <c r="CY29" t="str">
        <f t="shared" si="82"/>
        <v>Product-INV-028</v>
      </c>
      <c r="CZ29" t="str">
        <f t="shared" si="83"/>
        <v>prd_inv_028</v>
      </c>
      <c r="DA29" t="str">
        <f t="shared" si="84"/>
        <v>DEPARTMENT-SALES-028</v>
      </c>
      <c r="DB29" t="str">
        <f t="shared" si="85"/>
        <v>NIDHI.KHANNA@MAIL.IN</v>
      </c>
      <c r="DC29" t="str">
        <f t="shared" si="86"/>
        <v>https://www..INVERTERS.COM</v>
      </c>
      <c r="DD29" t="str">
        <f t="shared" si="87"/>
        <v>nidhi/khanna</v>
      </c>
      <c r="DE29" t="str">
        <f t="shared" si="88"/>
        <v>Retail</v>
      </c>
      <c r="DF29" t="str">
        <f t="shared" si="89"/>
        <v>ludhiana; PUNJAB;141002</v>
      </c>
      <c r="DG29" t="str">
        <f t="shared" si="90"/>
        <v>sales HEAD</v>
      </c>
      <c r="DH29" t="str">
        <f t="shared" si="91"/>
        <v xml:space="preserve"> 0161  2468-9753</v>
      </c>
      <c r="DI29" t="str">
        <f t="shared" si="92"/>
        <v>inverter STORE</v>
      </c>
      <c r="DJ29" t="str">
        <f t="shared" si="93"/>
        <v>WWW.INVERTERS.COM</v>
      </c>
      <c r="DK29" t="str">
        <f t="shared" si="94"/>
        <v>258  Model  Town</v>
      </c>
      <c r="DL29" t="str">
        <f t="shared" si="95"/>
        <v>nidhi.khanna</v>
      </c>
      <c r="DM29" t="str">
        <f t="shared" si="96"/>
        <v>nidhi.khanna@inverter STORE.com</v>
      </c>
      <c r="DN29" t="str">
        <f t="shared" si="97"/>
        <v>nidhi</v>
      </c>
      <c r="DO29" t="str">
        <f t="shared" si="98"/>
        <v>khanna</v>
      </c>
      <c r="DP29" t="str">
        <f t="shared" si="99"/>
        <v>khanna,nidhi</v>
      </c>
      <c r="DQ29" t="str">
        <f t="shared" si="100"/>
        <v>Name has12characters</v>
      </c>
      <c r="DR29" t="str">
        <f t="shared" si="101"/>
        <v>Check Domain</v>
      </c>
      <c r="DS29" t="str">
        <f t="shared" si="102"/>
        <v>(016</v>
      </c>
      <c r="DT29" t="str">
        <f t="shared" si="103"/>
        <v>CUS028</v>
      </c>
      <c r="DU29" t="str">
        <f t="shared" si="104"/>
        <v>nkhanna</v>
      </c>
      <c r="DV29" t="str">
        <f t="shared" si="105"/>
        <v>prd028</v>
      </c>
      <c r="DW29" t="str">
        <f t="shared" si="106"/>
        <v>(0161) 2468-9753</v>
      </c>
      <c r="DX29" t="str">
        <f t="shared" si="107"/>
        <v>2024</v>
      </c>
      <c r="DY29" t="str">
        <f t="shared" si="108"/>
        <v>n</v>
      </c>
      <c r="DZ29" t="str">
        <f t="shared" si="109"/>
        <v>nidhikhanna@inverter STORE.com</v>
      </c>
      <c r="EA29" t="str">
        <f t="shared" si="110"/>
        <v>Retail</v>
      </c>
      <c r="EB29" t="str">
        <f t="shared" si="111"/>
        <v>mail.in</v>
      </c>
      <c r="EC29">
        <f t="shared" si="112"/>
        <v>24</v>
      </c>
      <c r="ED29" t="str">
        <f t="shared" si="113"/>
        <v>lu28</v>
      </c>
      <c r="EE29" t="str">
        <f t="shared" si="114"/>
        <v>ludhiana- PUNJAB(141002)</v>
      </c>
      <c r="EF29" t="str">
        <f t="shared" si="115"/>
        <v>016124689753</v>
      </c>
      <c r="EG29" t="str">
        <f t="shared" si="116"/>
        <v>CUST-028</v>
      </c>
      <c r="EH29" t="str">
        <f t="shared" si="117"/>
        <v>public</v>
      </c>
      <c r="EI29" t="str">
        <f t="shared" si="118"/>
        <v>PRD-028-28Jul24</v>
      </c>
      <c r="EJ29" t="str">
        <f t="shared" si="119"/>
        <v>Retail</v>
      </c>
    </row>
    <row r="30" spans="1:140" x14ac:dyDescent="0.3">
      <c r="A30" t="s">
        <v>384</v>
      </c>
      <c r="B30" t="s">
        <v>1474</v>
      </c>
      <c r="C30" t="s">
        <v>1475</v>
      </c>
      <c r="D30" t="s">
        <v>385</v>
      </c>
      <c r="E30" t="s">
        <v>386</v>
      </c>
      <c r="F30" t="s">
        <v>387</v>
      </c>
      <c r="G30" t="s">
        <v>388</v>
      </c>
      <c r="H30" t="s">
        <v>1627</v>
      </c>
      <c r="I30" t="s">
        <v>1588</v>
      </c>
      <c r="J30">
        <v>641002</v>
      </c>
      <c r="K30" t="str">
        <f t="shared" si="9"/>
        <v>COIMBATORE, Tamil Nadu,641002</v>
      </c>
      <c r="L30" t="s">
        <v>389</v>
      </c>
      <c r="M30" t="s">
        <v>390</v>
      </c>
      <c r="N30" t="s">
        <v>391</v>
      </c>
      <c r="O30" t="s">
        <v>132</v>
      </c>
      <c r="P30" t="s">
        <v>392</v>
      </c>
      <c r="Q30" t="s">
        <v>393</v>
      </c>
      <c r="R30" t="s">
        <v>394</v>
      </c>
      <c r="S30" t="s">
        <v>395</v>
      </c>
      <c r="T30" t="s">
        <v>396</v>
      </c>
      <c r="U30" t="str">
        <f t="shared" si="0"/>
        <v xml:space="preserve">  SURESH KUMAR</v>
      </c>
      <c r="V30" t="str">
        <f t="shared" si="1"/>
        <v>suresh_kumar@email.com</v>
      </c>
      <c r="W30" t="str">
        <f t="shared" si="10"/>
        <v>Coimbatore</v>
      </c>
      <c r="X30" t="str">
        <f t="shared" si="2"/>
        <v>SURESH kumar</v>
      </c>
      <c r="Y30" t="str">
        <f t="shared" si="11"/>
        <v>CORPORATE</v>
      </c>
      <c r="Z30" t="str">
        <f t="shared" si="12"/>
        <v>battery world india</v>
      </c>
      <c r="AA30" t="str">
        <f t="shared" si="13"/>
        <v>Facility Manager</v>
      </c>
      <c r="AB30" t="str">
        <f t="shared" si="3"/>
        <v>369 RS Puram</v>
      </c>
      <c r="AC30" t="str">
        <f t="shared" si="14"/>
        <v>DEPT-FAC-029</v>
      </c>
      <c r="AD30" t="str">
        <f t="shared" si="15"/>
        <v>Exide 150Ah Battery</v>
      </c>
      <c r="AE30" t="str">
        <f t="shared" si="16"/>
        <v>www.batteries.in</v>
      </c>
      <c r="AF30" t="str">
        <f t="shared" si="17"/>
        <v>Warranty period check</v>
      </c>
      <c r="AG30" t="str">
        <f t="shared" si="4"/>
        <v>CUST029</v>
      </c>
      <c r="AH30" t="str">
        <f t="shared" si="18"/>
        <v>PRD-BAT-029</v>
      </c>
      <c r="AI30" t="str">
        <f t="shared" si="5"/>
        <v xml:space="preserve">  Suresh Kumar</v>
      </c>
      <c r="AJ30" t="str">
        <f t="shared" si="6"/>
        <v>0422-3698521</v>
      </c>
      <c r="AK30" t="str">
        <f t="shared" si="19"/>
        <v>corporate</v>
      </c>
      <c r="AL30" t="str">
        <f t="shared" si="20"/>
        <v>Battery World India</v>
      </c>
      <c r="AM30" t="str">
        <f t="shared" si="7"/>
        <v>suresh_kumar@email.com</v>
      </c>
      <c r="AN30" t="str">
        <f t="shared" si="21"/>
        <v>FACILITY MANAGER</v>
      </c>
      <c r="AO30" t="str">
        <f t="shared" si="8"/>
        <v>cust029-  SURESH kumar</v>
      </c>
      <c r="AP30" t="str">
        <f t="shared" si="22"/>
        <v>SURESH kumar</v>
      </c>
      <c r="AQ30" t="str">
        <f t="shared" si="23"/>
        <v>COIMBATORE, Tamil Nadu</v>
      </c>
      <c r="AR30" t="str">
        <f t="shared" si="24"/>
        <v>PRD-BAT-029:exide 150AH BATTERY</v>
      </c>
      <c r="AS30" t="str">
        <f t="shared" si="25"/>
        <v>suresh_kumar@email.com|0422-3698521</v>
      </c>
      <c r="AT30" t="str">
        <f t="shared" si="26"/>
        <v>BATTERY world INDIA-Facility Manager</v>
      </c>
      <c r="AU30" t="str">
        <f t="shared" si="27"/>
        <v>Corporate 04-Aug-2024</v>
      </c>
      <c r="AV30" t="str">
        <f t="shared" si="28"/>
        <v xml:space="preserve">  369 RS Puram  ,COIMBATORE, Tamil Nadu,641002</v>
      </c>
      <c r="AW30" t="str">
        <f t="shared" si="29"/>
        <v>DEPT-FAC-029_Facility Manager</v>
      </c>
      <c r="AX30" t="str">
        <f t="shared" si="30"/>
        <v>Customer ID:cust029</v>
      </c>
      <c r="AY30" t="str">
        <f t="shared" si="31"/>
        <v>Email:suresh_kumar@email.com</v>
      </c>
      <c r="AZ30" t="str">
        <f t="shared" si="32"/>
        <v>www.batteries.in/contact</v>
      </c>
      <c r="BA30" t="str">
        <f t="shared" si="33"/>
        <v>Order Placed On 04-Aug-2024</v>
      </c>
      <c r="BB30" t="str">
        <f t="shared" si="34"/>
        <v xml:space="preserve">  SURESH kumar(Corporate)</v>
      </c>
      <c r="BC30" t="str">
        <f t="shared" si="35"/>
        <v>PRD-BAT-029/exide 150AH BATTERY</v>
      </c>
      <c r="BD30" t="str">
        <f t="shared" si="36"/>
        <v>call 0422-3698521</v>
      </c>
      <c r="BE30" t="str">
        <f t="shared" si="37"/>
        <v>BATTERY world INDIA-DEPT-FAC-029</v>
      </c>
      <c r="BF30" t="str">
        <f t="shared" si="38"/>
        <v>cust029-29</v>
      </c>
      <c r="BG30" t="str">
        <f t="shared" si="39"/>
        <v>Customer:   SURESH kumar,Type: Corporate</v>
      </c>
      <c r="BH30" t="str">
        <f t="shared" si="40"/>
        <v>COIMBATORE,india</v>
      </c>
      <c r="BI30" t="str">
        <f t="shared" si="41"/>
        <v>cust</v>
      </c>
      <c r="BJ30" t="str">
        <f t="shared" si="42"/>
        <v>suresh_kum</v>
      </c>
      <c r="BK30" t="str">
        <f t="shared" si="43"/>
        <v xml:space="preserve">SURESH </v>
      </c>
      <c r="BL30" t="str">
        <f t="shared" si="44"/>
        <v>PRD-B</v>
      </c>
      <c r="BM30" t="str">
        <f t="shared" si="45"/>
        <v>Cor</v>
      </c>
      <c r="BN30" t="str">
        <f t="shared" si="46"/>
        <v>0422-369</v>
      </c>
      <c r="BO30" t="str">
        <f t="shared" si="47"/>
        <v>email.com</v>
      </c>
      <c r="BP30" t="str">
        <f t="shared" si="48"/>
        <v>COIMBATORE</v>
      </c>
      <c r="BQ30" t="str">
        <f t="shared" si="49"/>
        <v>t029</v>
      </c>
      <c r="BR30" t="str">
        <f t="shared" si="50"/>
        <v xml:space="preserve"> kumar</v>
      </c>
      <c r="BS30" t="str">
        <f t="shared" si="51"/>
        <v>AT-029</v>
      </c>
      <c r="BU30" t="str">
        <f t="shared" si="52"/>
        <v>98521</v>
      </c>
      <c r="BV30" t="str">
        <f t="shared" si="53"/>
        <v>641002</v>
      </c>
      <c r="BW30" t="str">
        <f t="shared" si="54"/>
        <v xml:space="preserve"> Tamil Nadu</v>
      </c>
      <c r="BX30" t="str">
        <f t="shared" si="55"/>
        <v>029</v>
      </c>
      <c r="BY30" t="str">
        <f t="shared" si="56"/>
        <v>FAC</v>
      </c>
      <c r="BZ30" t="str">
        <f t="shared" si="57"/>
        <v>BAT</v>
      </c>
      <c r="CA30" t="str">
        <f t="shared" si="58"/>
        <v>Aug</v>
      </c>
      <c r="CB30" t="str">
        <f t="shared" si="59"/>
        <v>TTERY</v>
      </c>
      <c r="CC30">
        <f t="shared" si="60"/>
        <v>13</v>
      </c>
      <c r="CD30">
        <f t="shared" si="61"/>
        <v>14</v>
      </c>
      <c r="CE30">
        <f t="shared" si="62"/>
        <v>22</v>
      </c>
      <c r="CF30">
        <f t="shared" si="63"/>
        <v>1</v>
      </c>
      <c r="CG30">
        <f t="shared" si="64"/>
        <v>19</v>
      </c>
      <c r="CH30">
        <f t="shared" si="65"/>
        <v>11</v>
      </c>
      <c r="CI30">
        <f t="shared" si="66"/>
        <v>7</v>
      </c>
      <c r="CJ30">
        <f t="shared" si="67"/>
        <v>1</v>
      </c>
      <c r="CK30">
        <f t="shared" si="68"/>
        <v>12</v>
      </c>
      <c r="CL30">
        <f t="shared" si="69"/>
        <v>4</v>
      </c>
      <c r="CM30">
        <f t="shared" si="70"/>
        <v>16</v>
      </c>
      <c r="CN30">
        <f t="shared" si="71"/>
        <v>19</v>
      </c>
      <c r="CO30">
        <f t="shared" si="72"/>
        <v>19</v>
      </c>
      <c r="CP30">
        <f t="shared" si="73"/>
        <v>8</v>
      </c>
      <c r="CQ30">
        <f t="shared" si="74"/>
        <v>12</v>
      </c>
      <c r="CR30" t="str">
        <f t="shared" si="75"/>
        <v>not found</v>
      </c>
      <c r="CS30">
        <f t="shared" si="76"/>
        <v>9</v>
      </c>
      <c r="CT30">
        <f t="shared" si="77"/>
        <v>8</v>
      </c>
      <c r="CU30">
        <f t="shared" si="78"/>
        <v>21</v>
      </c>
      <c r="CV30">
        <f t="shared" si="79"/>
        <v>3</v>
      </c>
      <c r="CW30" t="str">
        <f t="shared" si="80"/>
        <v>Customer ID029</v>
      </c>
      <c r="CX30" t="str">
        <f t="shared" si="81"/>
        <v>suresh_kumar[AT]email.com</v>
      </c>
      <c r="CY30" t="str">
        <f t="shared" si="82"/>
        <v>Product-BAT-029</v>
      </c>
      <c r="CZ30" t="str">
        <f t="shared" si="83"/>
        <v>PRD_BAT_029</v>
      </c>
      <c r="DA30" t="str">
        <f t="shared" si="84"/>
        <v>DEPARTMENT-FAC-029</v>
      </c>
      <c r="DB30" t="str">
        <f t="shared" si="85"/>
        <v>SURESH_KUMAR@EMAIL.in</v>
      </c>
      <c r="DC30" t="str">
        <f t="shared" si="86"/>
        <v>https://www..BATTERIES.IN</v>
      </c>
      <c r="DD30" t="str">
        <f t="shared" si="87"/>
        <v>//SURESH/kumar</v>
      </c>
      <c r="DE30" t="str">
        <f t="shared" si="88"/>
        <v>Corporate</v>
      </c>
      <c r="DF30" t="str">
        <f t="shared" si="89"/>
        <v>COIMBATORE; Tamil Nadu;641002</v>
      </c>
      <c r="DG30" t="str">
        <f t="shared" si="90"/>
        <v>Facility Manager</v>
      </c>
      <c r="DH30" t="str">
        <f t="shared" si="91"/>
        <v>0422-3698521</v>
      </c>
      <c r="DI30" t="str">
        <f t="shared" si="92"/>
        <v>BATTERY world INDIA</v>
      </c>
      <c r="DJ30" t="str">
        <f t="shared" si="93"/>
        <v>www.batteries.in</v>
      </c>
      <c r="DK30" t="str">
        <f t="shared" si="94"/>
        <v xml:space="preserve">    369  RS  Puram    </v>
      </c>
      <c r="DL30" t="str">
        <f t="shared" si="95"/>
        <v>suresh_kumar</v>
      </c>
      <c r="DM30" t="str">
        <f t="shared" si="96"/>
        <v>SURESH.kumar@BATTERY world INDIA.com</v>
      </c>
      <c r="DN30" t="str">
        <f t="shared" si="97"/>
        <v>SURESH</v>
      </c>
      <c r="DO30" t="str">
        <f t="shared" si="98"/>
        <v>kumar</v>
      </c>
      <c r="DP30" t="str">
        <f t="shared" si="99"/>
        <v>kumar,SURESH</v>
      </c>
      <c r="DQ30" t="str">
        <f t="shared" si="100"/>
        <v>Name has12characters</v>
      </c>
      <c r="DR30" t="str">
        <f t="shared" si="101"/>
        <v>Valid</v>
      </c>
      <c r="DS30" t="str">
        <f t="shared" si="102"/>
        <v>0422</v>
      </c>
      <c r="DT30" t="str">
        <f t="shared" si="103"/>
        <v>cus029</v>
      </c>
      <c r="DU30" t="str">
        <f t="shared" si="104"/>
        <v>Skumar</v>
      </c>
      <c r="DV30" t="str">
        <f t="shared" si="105"/>
        <v>PRD029</v>
      </c>
      <c r="DW30" t="str">
        <f t="shared" si="106"/>
        <v>0422-3698521</v>
      </c>
      <c r="DX30" t="str">
        <f t="shared" si="107"/>
        <v>2024</v>
      </c>
      <c r="DY30" t="str">
        <f t="shared" si="108"/>
        <v>S</v>
      </c>
      <c r="DZ30" t="str">
        <f t="shared" si="109"/>
        <v>SURESHkumar@BATTERY world INDIA.com</v>
      </c>
      <c r="EA30" t="str">
        <f t="shared" si="110"/>
        <v/>
      </c>
      <c r="EB30" t="str">
        <f t="shared" si="111"/>
        <v>email.com</v>
      </c>
      <c r="EC30">
        <f t="shared" si="112"/>
        <v>19</v>
      </c>
      <c r="ED30" t="str">
        <f t="shared" si="113"/>
        <v>CO29</v>
      </c>
      <c r="EE30" t="str">
        <f t="shared" si="114"/>
        <v>COIMBATORE- Tamil Nadu(641002)</v>
      </c>
      <c r="EF30" t="str">
        <f t="shared" si="115"/>
        <v>04223698521</v>
      </c>
      <c r="EG30" t="str">
        <f t="shared" si="116"/>
        <v>CUST-029</v>
      </c>
      <c r="EH30" t="str">
        <f t="shared" si="117"/>
        <v>public</v>
      </c>
      <c r="EI30" t="str">
        <f t="shared" si="118"/>
        <v>PRD-029-04Aug24</v>
      </c>
      <c r="EJ30" t="str">
        <f t="shared" si="119"/>
        <v>Corporate</v>
      </c>
    </row>
    <row r="31" spans="1:140" x14ac:dyDescent="0.3">
      <c r="A31" t="s">
        <v>397</v>
      </c>
      <c r="B31" t="s">
        <v>1476</v>
      </c>
      <c r="C31" t="s">
        <v>1477</v>
      </c>
      <c r="D31" t="s">
        <v>398</v>
      </c>
      <c r="E31" t="s">
        <v>399</v>
      </c>
      <c r="F31" t="s">
        <v>400</v>
      </c>
      <c r="G31" t="s">
        <v>401</v>
      </c>
      <c r="H31" t="s">
        <v>1628</v>
      </c>
      <c r="I31" t="s">
        <v>1629</v>
      </c>
      <c r="J31">
        <v>390007</v>
      </c>
      <c r="K31" t="str">
        <f t="shared" si="9"/>
        <v>Vadodara, GUJARAT,390007</v>
      </c>
      <c r="L31" t="s">
        <v>402</v>
      </c>
      <c r="M31" t="s">
        <v>403</v>
      </c>
      <c r="N31" t="s">
        <v>404</v>
      </c>
      <c r="O31" t="s">
        <v>64</v>
      </c>
      <c r="P31" t="s">
        <v>405</v>
      </c>
      <c r="Q31" t="s">
        <v>406</v>
      </c>
      <c r="R31" t="s">
        <v>407</v>
      </c>
      <c r="S31" t="s">
        <v>408</v>
      </c>
      <c r="T31" t="s">
        <v>409</v>
      </c>
      <c r="U31" t="str">
        <f t="shared" si="0"/>
        <v xml:space="preserve">AARTI MISHRA  </v>
      </c>
      <c r="V31" t="str">
        <f t="shared" si="1"/>
        <v>aarti.mishra@corporate.com</v>
      </c>
      <c r="W31" t="str">
        <f t="shared" si="10"/>
        <v>Vadodara</v>
      </c>
      <c r="X31" t="str">
        <f t="shared" si="2"/>
        <v>aarti MISHRA</v>
      </c>
      <c r="Y31" t="str">
        <f t="shared" si="11"/>
        <v>CORPORATE</v>
      </c>
      <c r="Z31" t="str">
        <f t="shared" si="12"/>
        <v xml:space="preserve">  solar power solutions  </v>
      </c>
      <c r="AA31" t="str">
        <f t="shared" si="13"/>
        <v>Energy Manager</v>
      </c>
      <c r="AB31" t="str">
        <f t="shared" si="3"/>
        <v>741 Alkapuri</v>
      </c>
      <c r="AC31" t="str">
        <f t="shared" si="14"/>
        <v>DEPT-ENG-030</v>
      </c>
      <c r="AD31" t="str">
        <f t="shared" si="15"/>
        <v>Luminous Solar Panel 250W</v>
      </c>
      <c r="AE31" t="str">
        <f t="shared" si="16"/>
        <v>https://www.solarpower.in</v>
      </c>
      <c r="AF31" t="str">
        <f t="shared" si="17"/>
        <v>Installation timeline needed</v>
      </c>
      <c r="AG31" t="str">
        <f t="shared" si="4"/>
        <v>CUST030</v>
      </c>
      <c r="AH31" t="str">
        <f t="shared" si="18"/>
        <v>PRD-SOL-030</v>
      </c>
      <c r="AI31" t="str">
        <f t="shared" si="5"/>
        <v xml:space="preserve">Aarti Mishra  </v>
      </c>
      <c r="AJ31" t="str">
        <f t="shared" si="6"/>
        <v>+91-9876234567</v>
      </c>
      <c r="AK31" t="str">
        <f t="shared" si="19"/>
        <v>corporate</v>
      </c>
      <c r="AL31" t="str">
        <f t="shared" si="20"/>
        <v>Solar Power Solutions</v>
      </c>
      <c r="AM31" t="str">
        <f t="shared" si="7"/>
        <v>aarti.mishra@corporate.com</v>
      </c>
      <c r="AN31" t="str">
        <f t="shared" si="21"/>
        <v>ENERGY MANAGER</v>
      </c>
      <c r="AO31" t="str">
        <f t="shared" si="8"/>
        <v xml:space="preserve">Cust030-aarti MISHRA  </v>
      </c>
      <c r="AP31" t="str">
        <f t="shared" si="22"/>
        <v>aarti MISHRA</v>
      </c>
      <c r="AQ31" t="str">
        <f t="shared" si="23"/>
        <v>Vadodara, GUJARAT</v>
      </c>
      <c r="AR31" t="str">
        <f t="shared" si="24"/>
        <v>prd-sol-030:LUMINOUS solar PANEL 250W</v>
      </c>
      <c r="AS31" t="str">
        <f t="shared" si="25"/>
        <v>AARTI.MISHRA@CORPORATE.COM|+91-9876234567</v>
      </c>
      <c r="AT31" t="str">
        <f t="shared" si="26"/>
        <v xml:space="preserve">  SOLAR power solutions  -ENERGY MANAGER</v>
      </c>
      <c r="AU31" t="str">
        <f t="shared" si="27"/>
        <v>CORPORATE 11-Aug-2024</v>
      </c>
      <c r="AV31" t="str">
        <f t="shared" si="28"/>
        <v>741 Alkapuri,Vadodara, GUJARAT,390007</v>
      </c>
      <c r="AW31" t="str">
        <f t="shared" si="29"/>
        <v>dept-eng-030_ENERGY MANAGER</v>
      </c>
      <c r="AX31" t="str">
        <f t="shared" si="30"/>
        <v>Customer ID:Cust030</v>
      </c>
      <c r="AY31" t="str">
        <f t="shared" si="31"/>
        <v>Email:AARTI.MISHRA@CORPORATE.COM</v>
      </c>
      <c r="AZ31" t="str">
        <f t="shared" si="32"/>
        <v>https://www.solarpower.in/contact</v>
      </c>
      <c r="BA31" t="str">
        <f t="shared" si="33"/>
        <v>Order Placed On 11-Aug-2024</v>
      </c>
      <c r="BB31" t="str">
        <f t="shared" si="34"/>
        <v>aarti MISHRA  (CORPORATE)</v>
      </c>
      <c r="BC31" t="str">
        <f t="shared" si="35"/>
        <v>prd-sol-030/LUMINOUS solar PANEL 250W</v>
      </c>
      <c r="BD31" t="str">
        <f t="shared" si="36"/>
        <v>call +91-9876234567</v>
      </c>
      <c r="BE31" t="str">
        <f t="shared" si="37"/>
        <v xml:space="preserve">  SOLAR power solutions  -dept-eng-030</v>
      </c>
      <c r="BF31" t="str">
        <f t="shared" si="38"/>
        <v>Cust030-30</v>
      </c>
      <c r="BG31" t="str">
        <f t="shared" si="39"/>
        <v>Customer: aarti MISHRA  ,Type: CORPORATE</v>
      </c>
      <c r="BH31" t="str">
        <f t="shared" si="40"/>
        <v>Vadodara,india</v>
      </c>
      <c r="BI31" t="str">
        <f t="shared" si="41"/>
        <v>Cust</v>
      </c>
      <c r="BJ31" t="str">
        <f t="shared" si="42"/>
        <v>AARTI.MISH</v>
      </c>
      <c r="BK31" t="str">
        <f t="shared" si="43"/>
        <v xml:space="preserve">aarti </v>
      </c>
      <c r="BL31" t="str">
        <f t="shared" si="44"/>
        <v>prd-s</v>
      </c>
      <c r="BM31" t="str">
        <f t="shared" si="45"/>
        <v>COR</v>
      </c>
      <c r="BN31" t="str">
        <f t="shared" si="46"/>
        <v>+91-9876</v>
      </c>
      <c r="BO31" t="str">
        <f t="shared" si="47"/>
        <v>CORPORATE.COM</v>
      </c>
      <c r="BP31" t="str">
        <f t="shared" si="48"/>
        <v>Vadodara</v>
      </c>
      <c r="BQ31" t="str">
        <f t="shared" si="49"/>
        <v>t030</v>
      </c>
      <c r="BR31" t="str">
        <f t="shared" si="50"/>
        <v>ISHRA</v>
      </c>
      <c r="BS31" t="str">
        <f t="shared" si="51"/>
        <v>ol-030</v>
      </c>
      <c r="BU31" t="str">
        <f t="shared" si="52"/>
        <v>34567</v>
      </c>
      <c r="BV31" t="str">
        <f t="shared" si="53"/>
        <v>390007</v>
      </c>
      <c r="BW31" t="str">
        <f t="shared" si="54"/>
        <v xml:space="preserve"> GUJARAT</v>
      </c>
      <c r="BX31" t="str">
        <f t="shared" si="55"/>
        <v>030</v>
      </c>
      <c r="BY31" t="str">
        <f t="shared" si="56"/>
        <v>eng</v>
      </c>
      <c r="BZ31" t="str">
        <f t="shared" si="57"/>
        <v>sol</v>
      </c>
      <c r="CA31" t="str">
        <f t="shared" si="58"/>
        <v>Aug</v>
      </c>
      <c r="CB31" t="str">
        <f t="shared" si="59"/>
        <v>SOLAR</v>
      </c>
      <c r="CC31">
        <f t="shared" si="60"/>
        <v>13</v>
      </c>
      <c r="CD31">
        <f t="shared" si="61"/>
        <v>14</v>
      </c>
      <c r="CE31">
        <f t="shared" si="62"/>
        <v>26</v>
      </c>
      <c r="CF31">
        <f t="shared" si="63"/>
        <v>6</v>
      </c>
      <c r="CG31">
        <f t="shared" si="64"/>
        <v>25</v>
      </c>
      <c r="CH31">
        <f t="shared" si="65"/>
        <v>9</v>
      </c>
      <c r="CI31">
        <f t="shared" si="66"/>
        <v>7</v>
      </c>
      <c r="CJ31">
        <f t="shared" si="67"/>
        <v>9</v>
      </c>
      <c r="CK31">
        <f t="shared" si="68"/>
        <v>14</v>
      </c>
      <c r="CL31">
        <f t="shared" si="69"/>
        <v>4</v>
      </c>
      <c r="CM31">
        <f t="shared" si="70"/>
        <v>12</v>
      </c>
      <c r="CN31">
        <f t="shared" si="71"/>
        <v>6</v>
      </c>
      <c r="CO31">
        <f t="shared" si="72"/>
        <v>21</v>
      </c>
      <c r="CP31">
        <f t="shared" si="73"/>
        <v>8</v>
      </c>
      <c r="CQ31">
        <f t="shared" si="74"/>
        <v>12</v>
      </c>
      <c r="CR31">
        <f t="shared" si="75"/>
        <v>7</v>
      </c>
      <c r="CS31">
        <f t="shared" si="76"/>
        <v>9</v>
      </c>
      <c r="CT31">
        <f t="shared" si="77"/>
        <v>8</v>
      </c>
      <c r="CU31">
        <f t="shared" si="78"/>
        <v>28</v>
      </c>
      <c r="CV31">
        <f t="shared" si="79"/>
        <v>3</v>
      </c>
      <c r="CW31" t="str">
        <f t="shared" si="80"/>
        <v>Customer ID030</v>
      </c>
      <c r="CX31" t="str">
        <f t="shared" si="81"/>
        <v>AARTI.MISHRA[AT]CORPORATE.COM</v>
      </c>
      <c r="CY31" t="str">
        <f t="shared" si="82"/>
        <v>Product-SOL-030</v>
      </c>
      <c r="CZ31" t="str">
        <f t="shared" si="83"/>
        <v>prd_sol_030</v>
      </c>
      <c r="DA31" t="str">
        <f t="shared" si="84"/>
        <v>DEPARTMENT-ENG-030</v>
      </c>
      <c r="DB31" t="str">
        <f t="shared" si="85"/>
        <v>AARTI.MISHRA@CORPORATE.in</v>
      </c>
      <c r="DC31" t="str">
        <f t="shared" si="86"/>
        <v>HTTPS://https://www..SOLARPOWER.IN</v>
      </c>
      <c r="DD31" t="str">
        <f t="shared" si="87"/>
        <v>aarti/MISHRA//</v>
      </c>
      <c r="DE31" t="str">
        <f t="shared" si="88"/>
        <v>CORPORATE</v>
      </c>
      <c r="DF31" t="str">
        <f t="shared" si="89"/>
        <v>Vadodara; GUJARAT;390007</v>
      </c>
      <c r="DG31" t="str">
        <f t="shared" si="90"/>
        <v>ENERGY MANAGER</v>
      </c>
      <c r="DH31" t="str">
        <f t="shared" si="91"/>
        <v>+91-9876234567</v>
      </c>
      <c r="DI31" t="str">
        <f t="shared" si="92"/>
        <v xml:space="preserve">  SOLAR power solutions  </v>
      </c>
      <c r="DJ31" t="str">
        <f t="shared" si="93"/>
        <v>https:://www.solarpower.in</v>
      </c>
      <c r="DK31" t="str">
        <f t="shared" si="94"/>
        <v>741  Alkapuri</v>
      </c>
      <c r="DL31" t="str">
        <f t="shared" si="95"/>
        <v>AARTI.MISHRA</v>
      </c>
      <c r="DM31" t="str">
        <f t="shared" si="96"/>
        <v>aarti.MISHRA@  SOLAR power solutions  .com</v>
      </c>
      <c r="DN31" t="str">
        <f t="shared" si="97"/>
        <v>aarti</v>
      </c>
      <c r="DO31" t="str">
        <f t="shared" si="98"/>
        <v>MISHRA</v>
      </c>
      <c r="DP31" t="str">
        <f t="shared" si="99"/>
        <v>MISHRA,aarti</v>
      </c>
      <c r="DQ31" t="str">
        <f t="shared" si="100"/>
        <v>Name has12characters</v>
      </c>
      <c r="DR31" t="str">
        <f t="shared" si="101"/>
        <v>Valid</v>
      </c>
      <c r="DS31" t="str">
        <f t="shared" si="102"/>
        <v>+91-</v>
      </c>
      <c r="DT31" t="str">
        <f t="shared" si="103"/>
        <v>Cus030</v>
      </c>
      <c r="DU31" t="str">
        <f t="shared" si="104"/>
        <v>amishra</v>
      </c>
      <c r="DV31" t="str">
        <f t="shared" si="105"/>
        <v>prd030</v>
      </c>
      <c r="DW31" t="str">
        <f t="shared" si="106"/>
        <v>+91-9876234567</v>
      </c>
      <c r="DX31" t="str">
        <f t="shared" si="107"/>
        <v>2024</v>
      </c>
      <c r="DY31" t="str">
        <f t="shared" si="108"/>
        <v>a</v>
      </c>
      <c r="DZ31" t="str">
        <f t="shared" si="109"/>
        <v>aartiMISHRA@  SOLAR power solutions  .com</v>
      </c>
      <c r="EA31" t="str">
        <f t="shared" si="110"/>
        <v/>
      </c>
      <c r="EB31" t="str">
        <f t="shared" si="111"/>
        <v>CORPORATE.COM</v>
      </c>
      <c r="EC31">
        <f t="shared" si="112"/>
        <v>25</v>
      </c>
      <c r="ED31" t="str">
        <f t="shared" si="113"/>
        <v>Va30</v>
      </c>
      <c r="EE31" t="str">
        <f t="shared" si="114"/>
        <v>Vadodara- GUJARAT(390007)</v>
      </c>
      <c r="EF31" t="str">
        <f t="shared" si="115"/>
        <v>919876234567</v>
      </c>
      <c r="EG31" t="str">
        <f t="shared" si="116"/>
        <v>CUST-030</v>
      </c>
      <c r="EH31" t="str">
        <f t="shared" si="117"/>
        <v>public</v>
      </c>
      <c r="EI31" t="str">
        <f t="shared" si="118"/>
        <v>PRD-030-11Aug24</v>
      </c>
      <c r="EJ31" t="str">
        <f t="shared" si="119"/>
        <v>Corporate</v>
      </c>
    </row>
    <row r="32" spans="1:140" x14ac:dyDescent="0.3">
      <c r="A32" t="s">
        <v>410</v>
      </c>
      <c r="B32" t="s">
        <v>1478</v>
      </c>
      <c r="C32" t="s">
        <v>1479</v>
      </c>
      <c r="D32" t="s">
        <v>411</v>
      </c>
      <c r="E32" t="s">
        <v>412</v>
      </c>
      <c r="F32" t="s">
        <v>413</v>
      </c>
      <c r="G32" t="s">
        <v>414</v>
      </c>
      <c r="H32" t="s">
        <v>1630</v>
      </c>
      <c r="I32" t="s">
        <v>1631</v>
      </c>
      <c r="J32">
        <v>122002</v>
      </c>
      <c r="K32" t="str">
        <f t="shared" si="9"/>
        <v>gurgaon, HARYANA,122002</v>
      </c>
      <c r="L32" t="s">
        <v>415</v>
      </c>
      <c r="M32" t="s">
        <v>416</v>
      </c>
      <c r="N32" t="s">
        <v>417</v>
      </c>
      <c r="O32" t="s">
        <v>78</v>
      </c>
      <c r="P32" t="s">
        <v>418</v>
      </c>
      <c r="Q32" t="s">
        <v>419</v>
      </c>
      <c r="R32" t="s">
        <v>420</v>
      </c>
      <c r="S32" t="s">
        <v>421</v>
      </c>
      <c r="T32" t="s">
        <v>422</v>
      </c>
      <c r="U32" t="str">
        <f t="shared" si="0"/>
        <v>TARUN SINGH</v>
      </c>
      <c r="V32" t="str">
        <f t="shared" si="1"/>
        <v>tarun.singh@mail.in</v>
      </c>
      <c r="W32" t="str">
        <f t="shared" si="10"/>
        <v>Gurgaon</v>
      </c>
      <c r="X32" t="str">
        <f t="shared" si="2"/>
        <v>tarun singh</v>
      </c>
      <c r="Y32" t="str">
        <f t="shared" si="11"/>
        <v>RETAIL</v>
      </c>
      <c r="Z32" t="str">
        <f t="shared" si="12"/>
        <v>charger world</v>
      </c>
      <c r="AA32" t="str">
        <f t="shared" si="13"/>
        <v>Tech Support</v>
      </c>
      <c r="AB32" t="str">
        <f t="shared" si="3"/>
        <v>852 Cyber City</v>
      </c>
      <c r="AC32" t="str">
        <f t="shared" si="14"/>
        <v>DEPT-SUPPORT-031</v>
      </c>
      <c r="AD32" t="str">
        <f t="shared" si="15"/>
        <v>Anker 65W Usb-C Charger</v>
      </c>
      <c r="AE32" t="str">
        <f t="shared" si="16"/>
        <v>www.chargers.com</v>
      </c>
      <c r="AF32" t="str">
        <f t="shared" si="17"/>
        <v>Compatibility check</v>
      </c>
      <c r="AG32" t="str">
        <f t="shared" si="4"/>
        <v>CUST031</v>
      </c>
      <c r="AH32" t="str">
        <f t="shared" si="18"/>
        <v>PRD-CHR-031</v>
      </c>
      <c r="AI32" t="str">
        <f t="shared" si="5"/>
        <v>Tarun Singh</v>
      </c>
      <c r="AJ32" t="str">
        <f t="shared" si="6"/>
        <v>(0124) 9876-5432</v>
      </c>
      <c r="AK32" t="str">
        <f t="shared" si="19"/>
        <v>retail</v>
      </c>
      <c r="AL32" t="str">
        <f t="shared" si="20"/>
        <v>Charger World</v>
      </c>
      <c r="AM32" t="str">
        <f t="shared" si="7"/>
        <v>tarun.singh@mail.in</v>
      </c>
      <c r="AN32" t="str">
        <f t="shared" si="21"/>
        <v>TECH SUPPORT</v>
      </c>
      <c r="AO32" t="str">
        <f t="shared" si="8"/>
        <v>CUST031-tarun singh</v>
      </c>
      <c r="AP32" t="str">
        <f t="shared" si="22"/>
        <v>tarun singh</v>
      </c>
      <c r="AQ32" t="str">
        <f t="shared" si="23"/>
        <v>gurgaon, HARYANA</v>
      </c>
      <c r="AR32" t="str">
        <f t="shared" si="24"/>
        <v>prd-chr-031:ANKER 65W USB-C charger</v>
      </c>
      <c r="AS32" t="str">
        <f t="shared" si="25"/>
        <v>tarun.singh@mail.in|(0124) 9876-5432</v>
      </c>
      <c r="AT32" t="str">
        <f t="shared" si="26"/>
        <v>charger WORLD-tech support</v>
      </c>
      <c r="AU32" t="str">
        <f t="shared" si="27"/>
        <v>retail 18-Aug-2024</v>
      </c>
      <c r="AV32" t="str">
        <f t="shared" si="28"/>
        <v>852 Cyber City,gurgaon, HARYANA,122002</v>
      </c>
      <c r="AW32" t="str">
        <f t="shared" si="29"/>
        <v>DEPT-SUPPORT-031_tech support</v>
      </c>
      <c r="AX32" t="str">
        <f t="shared" si="30"/>
        <v>Customer ID:CUST031</v>
      </c>
      <c r="AY32" t="str">
        <f t="shared" si="31"/>
        <v>Email:tarun.singh@mail.in</v>
      </c>
      <c r="AZ32" t="str">
        <f t="shared" si="32"/>
        <v>WWW.CHARGERS.COM/contact</v>
      </c>
      <c r="BA32" t="str">
        <f t="shared" si="33"/>
        <v>Order Placed On 18-Aug-2024</v>
      </c>
      <c r="BB32" t="str">
        <f t="shared" si="34"/>
        <v>tarun singh(retail)</v>
      </c>
      <c r="BC32" t="str">
        <f t="shared" si="35"/>
        <v>prd-chr-031/ANKER 65W USB-C charger</v>
      </c>
      <c r="BD32" t="str">
        <f t="shared" si="36"/>
        <v>call (0124) 9876-5432</v>
      </c>
      <c r="BE32" t="str">
        <f t="shared" si="37"/>
        <v>charger WORLD-DEPT-SUPPORT-031</v>
      </c>
      <c r="BF32" t="str">
        <f t="shared" si="38"/>
        <v>CUST031-31</v>
      </c>
      <c r="BG32" t="str">
        <f t="shared" si="39"/>
        <v>Customer: tarun singh,Type: retail</v>
      </c>
      <c r="BH32" t="str">
        <f t="shared" si="40"/>
        <v>gurgaon,india</v>
      </c>
      <c r="BI32" t="str">
        <f t="shared" si="41"/>
        <v>CUST</v>
      </c>
      <c r="BJ32" t="str">
        <f t="shared" si="42"/>
        <v>tarun.sing</v>
      </c>
      <c r="BK32" t="str">
        <f t="shared" si="43"/>
        <v xml:space="preserve">tarun </v>
      </c>
      <c r="BL32" t="str">
        <f t="shared" si="44"/>
        <v>prd-c</v>
      </c>
      <c r="BM32" t="str">
        <f t="shared" si="45"/>
        <v>ret</v>
      </c>
      <c r="BN32" t="str">
        <f t="shared" si="46"/>
        <v>(0124) 9</v>
      </c>
      <c r="BO32" t="str">
        <f t="shared" si="47"/>
        <v>mail.in</v>
      </c>
      <c r="BP32" t="str">
        <f t="shared" si="48"/>
        <v>gurgaon</v>
      </c>
      <c r="BQ32" t="str">
        <f t="shared" si="49"/>
        <v>T031</v>
      </c>
      <c r="BR32" t="str">
        <f t="shared" si="50"/>
        <v>singh</v>
      </c>
      <c r="BS32" t="str">
        <f t="shared" si="51"/>
        <v>hr-031</v>
      </c>
      <c r="BU32" t="str">
        <f t="shared" si="52"/>
        <v>-5432</v>
      </c>
      <c r="BV32" t="str">
        <f t="shared" si="53"/>
        <v>122002</v>
      </c>
      <c r="BW32" t="str">
        <f t="shared" si="54"/>
        <v xml:space="preserve"> HARYANA</v>
      </c>
      <c r="BX32" t="str">
        <f t="shared" si="55"/>
        <v>031</v>
      </c>
      <c r="BY32" t="str">
        <f t="shared" si="56"/>
        <v>SUPPORT</v>
      </c>
      <c r="BZ32" t="str">
        <f t="shared" si="57"/>
        <v>chr</v>
      </c>
      <c r="CA32" t="str">
        <f t="shared" si="58"/>
        <v>Aug</v>
      </c>
      <c r="CB32" t="str">
        <f t="shared" si="59"/>
        <v>arger</v>
      </c>
      <c r="CC32">
        <f t="shared" si="60"/>
        <v>12</v>
      </c>
      <c r="CD32">
        <f t="shared" si="61"/>
        <v>11</v>
      </c>
      <c r="CE32">
        <f t="shared" si="62"/>
        <v>19</v>
      </c>
      <c r="CF32">
        <f t="shared" si="63"/>
        <v>6</v>
      </c>
      <c r="CG32">
        <f t="shared" si="64"/>
        <v>23</v>
      </c>
      <c r="CH32">
        <f t="shared" si="65"/>
        <v>8</v>
      </c>
      <c r="CI32">
        <f t="shared" si="66"/>
        <v>7</v>
      </c>
      <c r="CJ32" t="str">
        <f t="shared" si="67"/>
        <v>Not found</v>
      </c>
      <c r="CK32">
        <f t="shared" si="68"/>
        <v>16</v>
      </c>
      <c r="CL32">
        <f t="shared" si="69"/>
        <v>4</v>
      </c>
      <c r="CM32">
        <f t="shared" si="70"/>
        <v>14</v>
      </c>
      <c r="CN32">
        <f t="shared" si="71"/>
        <v>6</v>
      </c>
      <c r="CO32">
        <f t="shared" si="72"/>
        <v>13</v>
      </c>
      <c r="CP32">
        <f t="shared" si="73"/>
        <v>8</v>
      </c>
      <c r="CQ32">
        <f t="shared" si="74"/>
        <v>16</v>
      </c>
      <c r="CR32" t="str">
        <f t="shared" si="75"/>
        <v>not found</v>
      </c>
      <c r="CS32">
        <f t="shared" si="76"/>
        <v>6</v>
      </c>
      <c r="CT32">
        <f t="shared" si="77"/>
        <v>8</v>
      </c>
      <c r="CU32">
        <f t="shared" si="78"/>
        <v>23</v>
      </c>
      <c r="CV32">
        <f t="shared" si="79"/>
        <v>3</v>
      </c>
      <c r="CW32" t="str">
        <f t="shared" si="80"/>
        <v>Customer ID031</v>
      </c>
      <c r="CX32" t="str">
        <f t="shared" si="81"/>
        <v>tarun.singh[AT]mail.in</v>
      </c>
      <c r="CY32" t="str">
        <f t="shared" si="82"/>
        <v>Product-CHR-031</v>
      </c>
      <c r="CZ32" t="str">
        <f t="shared" si="83"/>
        <v>prd_chr_031</v>
      </c>
      <c r="DA32" t="str">
        <f t="shared" si="84"/>
        <v>DEPARTMENT-SUPPORT-031</v>
      </c>
      <c r="DB32" t="str">
        <f t="shared" si="85"/>
        <v>TARUN.SINGH@MAIL.IN</v>
      </c>
      <c r="DC32" t="str">
        <f t="shared" si="86"/>
        <v>https://www..CHARGERS.COM</v>
      </c>
      <c r="DD32" t="str">
        <f t="shared" si="87"/>
        <v>tarun/singh</v>
      </c>
      <c r="DE32" t="str">
        <f t="shared" si="88"/>
        <v>RETAIL CUSTOMER</v>
      </c>
      <c r="DF32" t="str">
        <f t="shared" si="89"/>
        <v>gurgaon; HARYANA;122002</v>
      </c>
      <c r="DG32" t="str">
        <f t="shared" si="90"/>
        <v>tech support</v>
      </c>
      <c r="DH32" t="str">
        <f t="shared" si="91"/>
        <v xml:space="preserve"> 0124  9876-5432</v>
      </c>
      <c r="DI32" t="str">
        <f t="shared" si="92"/>
        <v>charger WORLD</v>
      </c>
      <c r="DJ32" t="str">
        <f t="shared" si="93"/>
        <v>WWW.CHARGERS.COM</v>
      </c>
      <c r="DK32" t="str">
        <f t="shared" si="94"/>
        <v>852  Cyber  City</v>
      </c>
      <c r="DL32" t="str">
        <f t="shared" si="95"/>
        <v>tarun.singh</v>
      </c>
      <c r="DM32" t="str">
        <f t="shared" si="96"/>
        <v>tarun.singh@charger WORLD.com</v>
      </c>
      <c r="DN32" t="str">
        <f t="shared" si="97"/>
        <v>tarun</v>
      </c>
      <c r="DO32" t="str">
        <f t="shared" si="98"/>
        <v>singh</v>
      </c>
      <c r="DP32" t="str">
        <f t="shared" si="99"/>
        <v>singh,tarun</v>
      </c>
      <c r="DQ32" t="str">
        <f t="shared" si="100"/>
        <v>Name has11characters</v>
      </c>
      <c r="DR32" t="str">
        <f t="shared" si="101"/>
        <v>Check Domain</v>
      </c>
      <c r="DS32" t="str">
        <f t="shared" si="102"/>
        <v>(012</v>
      </c>
      <c r="DT32" t="str">
        <f t="shared" si="103"/>
        <v>CUS031</v>
      </c>
      <c r="DU32" t="str">
        <f t="shared" si="104"/>
        <v>tsingh</v>
      </c>
      <c r="DV32" t="str">
        <f t="shared" si="105"/>
        <v>prd031</v>
      </c>
      <c r="DW32" t="str">
        <f t="shared" si="106"/>
        <v>(0124) 9876-5432</v>
      </c>
      <c r="DX32" t="str">
        <f t="shared" si="107"/>
        <v>2024</v>
      </c>
      <c r="DY32" t="str">
        <f t="shared" si="108"/>
        <v>t</v>
      </c>
      <c r="DZ32" t="str">
        <f t="shared" si="109"/>
        <v>tarunsingh@charger WORLD.com</v>
      </c>
      <c r="EA32" t="str">
        <f t="shared" si="110"/>
        <v>Retail</v>
      </c>
      <c r="EB32" t="str">
        <f t="shared" si="111"/>
        <v>mail.in</v>
      </c>
      <c r="EC32">
        <f t="shared" si="112"/>
        <v>23</v>
      </c>
      <c r="ED32" t="str">
        <f t="shared" si="113"/>
        <v>gu31</v>
      </c>
      <c r="EE32" t="str">
        <f t="shared" si="114"/>
        <v>gurgaon- HARYANA(122002)</v>
      </c>
      <c r="EF32" t="str">
        <f t="shared" si="115"/>
        <v>012498765432</v>
      </c>
      <c r="EG32" t="str">
        <f t="shared" si="116"/>
        <v>CUST-031</v>
      </c>
      <c r="EH32" t="str">
        <f t="shared" si="117"/>
        <v>public</v>
      </c>
      <c r="EI32" t="str">
        <f t="shared" si="118"/>
        <v>PRD-031-18Aug24</v>
      </c>
      <c r="EJ32" t="str">
        <f t="shared" si="119"/>
        <v>Retail</v>
      </c>
    </row>
    <row r="33" spans="1:140" x14ac:dyDescent="0.3">
      <c r="A33" t="s">
        <v>423</v>
      </c>
      <c r="B33" t="s">
        <v>1480</v>
      </c>
      <c r="C33" t="s">
        <v>1481</v>
      </c>
      <c r="D33" t="s">
        <v>424</v>
      </c>
      <c r="E33" t="s">
        <v>425</v>
      </c>
      <c r="F33" t="s">
        <v>426</v>
      </c>
      <c r="G33" t="s">
        <v>427</v>
      </c>
      <c r="H33" t="s">
        <v>1632</v>
      </c>
      <c r="I33" t="s">
        <v>1633</v>
      </c>
      <c r="J33">
        <v>143001</v>
      </c>
      <c r="K33" t="str">
        <f t="shared" si="9"/>
        <v>AMRITSAR, Punjab,143001</v>
      </c>
      <c r="L33" t="s">
        <v>428</v>
      </c>
      <c r="M33" t="s">
        <v>429</v>
      </c>
      <c r="N33" t="s">
        <v>430</v>
      </c>
      <c r="O33" t="s">
        <v>50</v>
      </c>
      <c r="P33" t="s">
        <v>431</v>
      </c>
      <c r="Q33" t="s">
        <v>432</v>
      </c>
      <c r="R33" t="s">
        <v>121</v>
      </c>
      <c r="S33" t="s">
        <v>433</v>
      </c>
      <c r="T33" t="s">
        <v>434</v>
      </c>
      <c r="U33" t="str">
        <f t="shared" si="0"/>
        <v xml:space="preserve">  SIMRAN KAUR</v>
      </c>
      <c r="V33" t="str">
        <f t="shared" si="1"/>
        <v>simran_kaur@email.in</v>
      </c>
      <c r="W33" t="str">
        <f t="shared" si="10"/>
        <v>Amritsar</v>
      </c>
      <c r="X33" t="str">
        <f t="shared" si="2"/>
        <v>SIMRAN kaur</v>
      </c>
      <c r="Y33" t="str">
        <f t="shared" si="11"/>
        <v>RETAIL</v>
      </c>
      <c r="Z33" t="str">
        <f t="shared" si="12"/>
        <v>cable solutions india</v>
      </c>
      <c r="AA33" t="str">
        <f t="shared" si="13"/>
        <v>Sales Executive</v>
      </c>
      <c r="AB33" t="str">
        <f t="shared" si="3"/>
        <v>963 Court Road</v>
      </c>
      <c r="AC33" t="str">
        <f t="shared" si="14"/>
        <v>DEPT-SALES-032</v>
      </c>
      <c r="AD33" t="str">
        <f t="shared" si="15"/>
        <v>Belkin Usb-C To Hdmi Cable</v>
      </c>
      <c r="AE33" t="str">
        <f t="shared" si="16"/>
        <v>www.cables.in</v>
      </c>
      <c r="AF33" t="str">
        <f t="shared" si="17"/>
        <v>Length: 2 meters</v>
      </c>
      <c r="AG33" t="str">
        <f t="shared" si="4"/>
        <v>CUST032</v>
      </c>
      <c r="AH33" t="str">
        <f t="shared" si="18"/>
        <v>PRD-CABLE-032</v>
      </c>
      <c r="AI33" t="str">
        <f t="shared" si="5"/>
        <v xml:space="preserve">  Simran Kaur</v>
      </c>
      <c r="AJ33" t="str">
        <f t="shared" si="6"/>
        <v>0183-2345678</v>
      </c>
      <c r="AK33" t="str">
        <f t="shared" si="19"/>
        <v>retail</v>
      </c>
      <c r="AL33" t="str">
        <f t="shared" si="20"/>
        <v>Cable Solutions India</v>
      </c>
      <c r="AM33" t="str">
        <f t="shared" si="7"/>
        <v>simran_kaur@email.in</v>
      </c>
      <c r="AN33" t="str">
        <f t="shared" si="21"/>
        <v>SALES EXECUTIVE</v>
      </c>
      <c r="AO33" t="str">
        <f t="shared" si="8"/>
        <v>cust032-  SIMRAN kaur</v>
      </c>
      <c r="AP33" t="str">
        <f t="shared" si="22"/>
        <v>SIMRAN kaur</v>
      </c>
      <c r="AQ33" t="str">
        <f t="shared" si="23"/>
        <v>AMRITSAR, Punjab</v>
      </c>
      <c r="AR33" t="str">
        <f t="shared" si="24"/>
        <v>PRD-CABLE-032:belkin USB-C TO HDMI cable</v>
      </c>
      <c r="AS33" t="str">
        <f t="shared" si="25"/>
        <v>simran_kaur@email.in|0183-2345678</v>
      </c>
      <c r="AT33" t="str">
        <f t="shared" si="26"/>
        <v>CABLE solutions INDIA-Sales Executive</v>
      </c>
      <c r="AU33" t="str">
        <f t="shared" si="27"/>
        <v>Retail 25-Aug-2024</v>
      </c>
      <c r="AV33" t="str">
        <f t="shared" si="28"/>
        <v xml:space="preserve">  963 Court Road  ,AMRITSAR, Punjab,143001</v>
      </c>
      <c r="AW33" t="str">
        <f t="shared" si="29"/>
        <v>dept-sales-032_Sales Executive</v>
      </c>
      <c r="AX33" t="str">
        <f t="shared" si="30"/>
        <v>Customer ID:cust032</v>
      </c>
      <c r="AY33" t="str">
        <f t="shared" si="31"/>
        <v>Email:simran_kaur@email.in</v>
      </c>
      <c r="AZ33" t="str">
        <f t="shared" si="32"/>
        <v>www.cables.in/contact</v>
      </c>
      <c r="BA33" t="str">
        <f t="shared" si="33"/>
        <v>Order Placed On 25-Aug-2024</v>
      </c>
      <c r="BB33" t="str">
        <f t="shared" si="34"/>
        <v xml:space="preserve">  SIMRAN kaur(Retail)</v>
      </c>
      <c r="BC33" t="str">
        <f t="shared" si="35"/>
        <v>PRD-CABLE-032/belkin USB-C TO HDMI cable</v>
      </c>
      <c r="BD33" t="str">
        <f t="shared" si="36"/>
        <v>call 0183-2345678</v>
      </c>
      <c r="BE33" t="str">
        <f t="shared" si="37"/>
        <v>CABLE solutions INDIA-dept-sales-032</v>
      </c>
      <c r="BF33" t="str">
        <f t="shared" si="38"/>
        <v>cust032-32</v>
      </c>
      <c r="BG33" t="str">
        <f t="shared" si="39"/>
        <v>Customer:   SIMRAN kaur,Type: Retail</v>
      </c>
      <c r="BH33" t="str">
        <f t="shared" si="40"/>
        <v>AMRITSAR,india</v>
      </c>
      <c r="BI33" t="str">
        <f t="shared" si="41"/>
        <v>cust</v>
      </c>
      <c r="BJ33" t="str">
        <f t="shared" si="42"/>
        <v>simran_kau</v>
      </c>
      <c r="BK33" t="str">
        <f t="shared" si="43"/>
        <v xml:space="preserve">SIMRAN </v>
      </c>
      <c r="BL33" t="str">
        <f t="shared" si="44"/>
        <v>PRD-C</v>
      </c>
      <c r="BM33" t="str">
        <f t="shared" si="45"/>
        <v>Ret</v>
      </c>
      <c r="BN33" t="str">
        <f t="shared" si="46"/>
        <v>0183-234</v>
      </c>
      <c r="BO33" t="str">
        <f t="shared" si="47"/>
        <v>email.in</v>
      </c>
      <c r="BP33" t="str">
        <f t="shared" si="48"/>
        <v>AMRITSAR</v>
      </c>
      <c r="BQ33" t="str">
        <f t="shared" si="49"/>
        <v>t032</v>
      </c>
      <c r="BR33" t="str">
        <f t="shared" si="50"/>
        <v>N kaur</v>
      </c>
      <c r="BS33" t="str">
        <f t="shared" si="51"/>
        <v>LE-032</v>
      </c>
      <c r="BU33" t="str">
        <f t="shared" si="52"/>
        <v>45678</v>
      </c>
      <c r="BV33" t="str">
        <f t="shared" si="53"/>
        <v>143001</v>
      </c>
      <c r="BW33" t="str">
        <f t="shared" si="54"/>
        <v xml:space="preserve"> Punjab</v>
      </c>
      <c r="BX33" t="str">
        <f t="shared" si="55"/>
        <v>032</v>
      </c>
      <c r="BY33" t="str">
        <f t="shared" si="56"/>
        <v>sales</v>
      </c>
      <c r="BZ33" t="str">
        <f t="shared" si="57"/>
        <v>CABLE</v>
      </c>
      <c r="CA33" t="str">
        <f t="shared" si="58"/>
        <v>Aug</v>
      </c>
      <c r="CB33" t="str">
        <f t="shared" si="59"/>
        <v>BLE s</v>
      </c>
      <c r="CC33">
        <f t="shared" si="60"/>
        <v>12</v>
      </c>
      <c r="CD33">
        <f t="shared" si="61"/>
        <v>13</v>
      </c>
      <c r="CE33">
        <f t="shared" si="62"/>
        <v>20</v>
      </c>
      <c r="CF33">
        <f t="shared" si="63"/>
        <v>1</v>
      </c>
      <c r="CG33">
        <f t="shared" si="64"/>
        <v>26</v>
      </c>
      <c r="CH33">
        <f t="shared" si="65"/>
        <v>9</v>
      </c>
      <c r="CI33">
        <f t="shared" si="66"/>
        <v>7</v>
      </c>
      <c r="CJ33">
        <f t="shared" si="67"/>
        <v>1</v>
      </c>
      <c r="CK33">
        <f t="shared" si="68"/>
        <v>12</v>
      </c>
      <c r="CL33">
        <f t="shared" si="69"/>
        <v>4</v>
      </c>
      <c r="CM33">
        <f t="shared" si="70"/>
        <v>18</v>
      </c>
      <c r="CN33">
        <f t="shared" si="71"/>
        <v>18</v>
      </c>
      <c r="CO33">
        <f t="shared" si="72"/>
        <v>21</v>
      </c>
      <c r="CP33">
        <f t="shared" si="73"/>
        <v>10</v>
      </c>
      <c r="CQ33">
        <f t="shared" si="74"/>
        <v>14</v>
      </c>
      <c r="CR33" t="str">
        <f t="shared" si="75"/>
        <v>not found</v>
      </c>
      <c r="CS33">
        <f t="shared" si="76"/>
        <v>6</v>
      </c>
      <c r="CT33">
        <f t="shared" si="77"/>
        <v>10</v>
      </c>
      <c r="CU33">
        <f t="shared" si="78"/>
        <v>16</v>
      </c>
      <c r="CV33">
        <f t="shared" si="79"/>
        <v>3</v>
      </c>
      <c r="CW33" t="str">
        <f t="shared" si="80"/>
        <v>Customer ID032</v>
      </c>
      <c r="CX33" t="str">
        <f t="shared" si="81"/>
        <v>simran_kaur[AT]email.in</v>
      </c>
      <c r="CY33" t="str">
        <f t="shared" si="82"/>
        <v>Product-CABLE-032</v>
      </c>
      <c r="CZ33" t="str">
        <f t="shared" si="83"/>
        <v>PRD_CABLE_032</v>
      </c>
      <c r="DA33" t="str">
        <f t="shared" si="84"/>
        <v>DEPARTMENT-SALES-032</v>
      </c>
      <c r="DB33" t="str">
        <f t="shared" si="85"/>
        <v>SIMRAN_KAUR@EMAIL.IN</v>
      </c>
      <c r="DC33" t="str">
        <f t="shared" si="86"/>
        <v>https://www..CABLES.IN</v>
      </c>
      <c r="DD33" t="str">
        <f t="shared" si="87"/>
        <v>//SIMRAN/kaur</v>
      </c>
      <c r="DE33" t="str">
        <f t="shared" si="88"/>
        <v>Retail</v>
      </c>
      <c r="DF33" t="str">
        <f t="shared" si="89"/>
        <v>AMRITSAR; Punjab;143001</v>
      </c>
      <c r="DG33" t="str">
        <f t="shared" si="90"/>
        <v>Sales Executive</v>
      </c>
      <c r="DH33" t="str">
        <f t="shared" si="91"/>
        <v>0183-2345678</v>
      </c>
      <c r="DI33" t="str">
        <f t="shared" si="92"/>
        <v>CABLE solutions INDIA</v>
      </c>
      <c r="DJ33" t="str">
        <f t="shared" si="93"/>
        <v>www.cables.in</v>
      </c>
      <c r="DK33" t="str">
        <f t="shared" si="94"/>
        <v xml:space="preserve">    963  Court  Road    </v>
      </c>
      <c r="DL33" t="str">
        <f t="shared" si="95"/>
        <v>simran_kaur</v>
      </c>
      <c r="DM33" t="str">
        <f t="shared" si="96"/>
        <v>SIMRAN.kaur@CABLE solutions INDIA.com</v>
      </c>
      <c r="DN33" t="str">
        <f t="shared" si="97"/>
        <v>SIMRAN</v>
      </c>
      <c r="DO33" t="str">
        <f t="shared" si="98"/>
        <v>kaur</v>
      </c>
      <c r="DP33" t="str">
        <f t="shared" si="99"/>
        <v>kaur,SIMRAN</v>
      </c>
      <c r="DQ33" t="str">
        <f t="shared" si="100"/>
        <v>Name has11characters</v>
      </c>
      <c r="DR33" t="str">
        <f t="shared" si="101"/>
        <v>Check Domain</v>
      </c>
      <c r="DS33" t="str">
        <f t="shared" si="102"/>
        <v>0183</v>
      </c>
      <c r="DT33" t="str">
        <f t="shared" si="103"/>
        <v>cus032</v>
      </c>
      <c r="DU33" t="str">
        <f t="shared" si="104"/>
        <v>Skaur</v>
      </c>
      <c r="DV33" t="str">
        <f t="shared" si="105"/>
        <v>PRD032</v>
      </c>
      <c r="DW33" t="str">
        <f t="shared" si="106"/>
        <v>0183-2345678</v>
      </c>
      <c r="DX33" t="str">
        <f t="shared" si="107"/>
        <v>2024</v>
      </c>
      <c r="DY33" t="str">
        <f t="shared" si="108"/>
        <v>S</v>
      </c>
      <c r="DZ33" t="str">
        <f t="shared" si="109"/>
        <v>SIMRANkaur@CABLE solutions INDIA.com</v>
      </c>
      <c r="EA33" t="str">
        <f t="shared" si="110"/>
        <v>Retail</v>
      </c>
      <c r="EB33" t="str">
        <f t="shared" si="111"/>
        <v>email.in</v>
      </c>
      <c r="EC33">
        <f t="shared" si="112"/>
        <v>26</v>
      </c>
      <c r="ED33" t="str">
        <f t="shared" si="113"/>
        <v>AM32</v>
      </c>
      <c r="EE33" t="str">
        <f t="shared" si="114"/>
        <v>AMRITSAR- Punjab(143001)</v>
      </c>
      <c r="EF33" t="str">
        <f t="shared" si="115"/>
        <v>01832345678</v>
      </c>
      <c r="EG33" t="str">
        <f t="shared" si="116"/>
        <v>CUST-032</v>
      </c>
      <c r="EH33" t="str">
        <f t="shared" si="117"/>
        <v>public</v>
      </c>
      <c r="EI33" t="str">
        <f t="shared" si="118"/>
        <v>PRD-032-25Aug24</v>
      </c>
      <c r="EJ33" t="str">
        <f t="shared" si="119"/>
        <v>Retail</v>
      </c>
    </row>
    <row r="34" spans="1:140" x14ac:dyDescent="0.3">
      <c r="A34" t="s">
        <v>435</v>
      </c>
      <c r="B34" t="s">
        <v>1482</v>
      </c>
      <c r="C34" t="s">
        <v>1483</v>
      </c>
      <c r="D34" t="s">
        <v>436</v>
      </c>
      <c r="E34" t="s">
        <v>437</v>
      </c>
      <c r="F34" t="s">
        <v>438</v>
      </c>
      <c r="G34" t="s">
        <v>439</v>
      </c>
      <c r="H34" t="s">
        <v>1634</v>
      </c>
      <c r="I34" t="s">
        <v>1635</v>
      </c>
      <c r="J34">
        <v>221001</v>
      </c>
      <c r="K34" t="str">
        <f t="shared" si="9"/>
        <v>Varanasi, UTTAR PRADESH,221001</v>
      </c>
      <c r="L34" t="s">
        <v>440</v>
      </c>
      <c r="M34" t="s">
        <v>441</v>
      </c>
      <c r="N34" t="s">
        <v>442</v>
      </c>
      <c r="O34" t="s">
        <v>92</v>
      </c>
      <c r="P34" t="s">
        <v>443</v>
      </c>
      <c r="Q34" t="s">
        <v>444</v>
      </c>
      <c r="R34" t="s">
        <v>445</v>
      </c>
      <c r="S34" t="s">
        <v>446</v>
      </c>
      <c r="T34" t="s">
        <v>447</v>
      </c>
      <c r="U34" t="str">
        <f t="shared" ref="U34:U65" si="120">UPPER(D34)</f>
        <v xml:space="preserve">ALOK TIWARI  </v>
      </c>
      <c r="V34" t="str">
        <f t="shared" ref="V34:V65" si="121">LOWER(E34)</f>
        <v>alok.tiwari@company.in</v>
      </c>
      <c r="W34" t="str">
        <f t="shared" si="10"/>
        <v>Varanasi</v>
      </c>
      <c r="X34" t="str">
        <f t="shared" ref="X34:X65" si="122">TRIM(D34)</f>
        <v>alok TIWARI</v>
      </c>
      <c r="Y34" t="str">
        <f t="shared" si="11"/>
        <v>WHOLESALE</v>
      </c>
      <c r="Z34" t="str">
        <f t="shared" si="12"/>
        <v xml:space="preserve">  adapter store pro  </v>
      </c>
      <c r="AA34" t="str">
        <f t="shared" si="13"/>
        <v>Procurement Lead</v>
      </c>
      <c r="AB34" t="str">
        <f t="shared" ref="AB34:AB65" si="123">TRIM(G34)</f>
        <v>159 Godowlia</v>
      </c>
      <c r="AC34" t="str">
        <f t="shared" si="14"/>
        <v>DEPT-PROC-033</v>
      </c>
      <c r="AD34" t="str">
        <f t="shared" si="15"/>
        <v>Apple Lightning To Usb Adapter</v>
      </c>
      <c r="AE34" t="str">
        <f t="shared" si="16"/>
        <v>https://adapters.com</v>
      </c>
      <c r="AF34" t="str">
        <f t="shared" si="17"/>
        <v>Bulk discount expected</v>
      </c>
      <c r="AG34" t="str">
        <f t="shared" ref="AG34:AG65" si="124">UPPER(A34)</f>
        <v>CUST033</v>
      </c>
      <c r="AH34" t="str">
        <f t="shared" si="18"/>
        <v>PRD-ADP-033</v>
      </c>
      <c r="AI34" t="str">
        <f t="shared" ref="AI34:AI65" si="125">PROPER(D34)</f>
        <v xml:space="preserve">Alok Tiwari  </v>
      </c>
      <c r="AJ34" t="str">
        <f t="shared" ref="AJ34:AJ65" si="126">TRIM(F34)</f>
        <v>+91-9123456780</v>
      </c>
      <c r="AK34" t="str">
        <f t="shared" si="19"/>
        <v>wholesale</v>
      </c>
      <c r="AL34" t="str">
        <f t="shared" si="20"/>
        <v>Adapter Store Pro</v>
      </c>
      <c r="AM34" t="str">
        <f t="shared" ref="AM34:AM65" si="127">LOWER(TRIM(E34))</f>
        <v>alok.tiwari@company.in</v>
      </c>
      <c r="AN34" t="str">
        <f t="shared" si="21"/>
        <v>PROCUREMENT LEAD</v>
      </c>
      <c r="AO34" t="str">
        <f t="shared" ref="AO34:AO65" si="128">CONCATENATE(A34,"-",D34)</f>
        <v xml:space="preserve">Cust033-alok TIWARI  </v>
      </c>
      <c r="AP34" t="str">
        <f t="shared" si="22"/>
        <v>alok TIWARI</v>
      </c>
      <c r="AQ34" t="str">
        <f t="shared" si="23"/>
        <v>Varanasi, UTTAR PRADESH</v>
      </c>
      <c r="AR34" t="str">
        <f t="shared" si="24"/>
        <v>prd-adp-033:APPLE lightning to USB adapter</v>
      </c>
      <c r="AS34" t="str">
        <f t="shared" si="25"/>
        <v>ALOK.TIWARI@COMPANY.IN|+91-9123456780</v>
      </c>
      <c r="AT34" t="str">
        <f t="shared" si="26"/>
        <v xml:space="preserve">  ADAPTER store PRO  -PROCUREMENT LEAD</v>
      </c>
      <c r="AU34" t="str">
        <f t="shared" si="27"/>
        <v>WholeSale 01-Sep-2024</v>
      </c>
      <c r="AV34" t="str">
        <f t="shared" si="28"/>
        <v>159 Godowlia,Varanasi, UTTAR PRADESH,221001</v>
      </c>
      <c r="AW34" t="str">
        <f t="shared" si="29"/>
        <v>DEPT-PROC-033_PROCUREMENT LEAD</v>
      </c>
      <c r="AX34" t="str">
        <f t="shared" si="30"/>
        <v>Customer ID:Cust033</v>
      </c>
      <c r="AY34" t="str">
        <f t="shared" si="31"/>
        <v>Email:ALOK.TIWARI@COMPANY.IN</v>
      </c>
      <c r="AZ34" t="str">
        <f t="shared" si="32"/>
        <v>https://adapters.com/contact</v>
      </c>
      <c r="BA34" t="str">
        <f t="shared" si="33"/>
        <v>Order Placed On 01-Sep-2024</v>
      </c>
      <c r="BB34" t="str">
        <f t="shared" si="34"/>
        <v>alok TIWARI  (WholeSale)</v>
      </c>
      <c r="BC34" t="str">
        <f t="shared" si="35"/>
        <v>prd-adp-033/APPLE lightning to USB adapter</v>
      </c>
      <c r="BD34" t="str">
        <f t="shared" si="36"/>
        <v>call +91-9123456780</v>
      </c>
      <c r="BE34" t="str">
        <f t="shared" si="37"/>
        <v xml:space="preserve">  ADAPTER store PRO  -DEPT-PROC-033</v>
      </c>
      <c r="BF34" t="str">
        <f t="shared" si="38"/>
        <v>Cust033-33</v>
      </c>
      <c r="BG34" t="str">
        <f t="shared" si="39"/>
        <v>Customer: alok TIWARI  ,Type: WholeSale</v>
      </c>
      <c r="BH34" t="str">
        <f t="shared" si="40"/>
        <v>Varanasi,india</v>
      </c>
      <c r="BI34" t="str">
        <f t="shared" si="41"/>
        <v>Cust</v>
      </c>
      <c r="BJ34" t="str">
        <f t="shared" si="42"/>
        <v>ALOK.TIWAR</v>
      </c>
      <c r="BK34" t="str">
        <f t="shared" si="43"/>
        <v xml:space="preserve">alok </v>
      </c>
      <c r="BL34" t="str">
        <f t="shared" si="44"/>
        <v>prd-a</v>
      </c>
      <c r="BM34" t="str">
        <f t="shared" si="45"/>
        <v>Who</v>
      </c>
      <c r="BN34" t="str">
        <f t="shared" si="46"/>
        <v>+91-9123</v>
      </c>
      <c r="BO34" t="str">
        <f t="shared" si="47"/>
        <v>COMPANY.IN</v>
      </c>
      <c r="BP34" t="str">
        <f t="shared" si="48"/>
        <v>Varanasi</v>
      </c>
      <c r="BQ34" t="str">
        <f t="shared" si="49"/>
        <v>t033</v>
      </c>
      <c r="BR34" t="str">
        <f t="shared" si="50"/>
        <v>WARI</v>
      </c>
      <c r="BS34" t="str">
        <f t="shared" si="51"/>
        <v>dp-033</v>
      </c>
      <c r="BU34" t="str">
        <f t="shared" si="52"/>
        <v>56780</v>
      </c>
      <c r="BV34" t="str">
        <f t="shared" si="53"/>
        <v>221001</v>
      </c>
      <c r="BW34" t="str">
        <f t="shared" si="54"/>
        <v xml:space="preserve"> UTTAR PRADESH</v>
      </c>
      <c r="BX34" t="str">
        <f t="shared" si="55"/>
        <v>033</v>
      </c>
      <c r="BY34" t="str">
        <f t="shared" si="56"/>
        <v>PROC</v>
      </c>
      <c r="BZ34" t="str">
        <f t="shared" si="57"/>
        <v>adp</v>
      </c>
      <c r="CA34" t="str">
        <f t="shared" si="58"/>
        <v>Sep</v>
      </c>
      <c r="CB34" t="str">
        <f t="shared" si="59"/>
        <v>ADAPT</v>
      </c>
      <c r="CC34">
        <f t="shared" si="60"/>
        <v>12</v>
      </c>
      <c r="CD34">
        <f t="shared" si="61"/>
        <v>13</v>
      </c>
      <c r="CE34">
        <f t="shared" si="62"/>
        <v>22</v>
      </c>
      <c r="CF34">
        <f t="shared" si="63"/>
        <v>5</v>
      </c>
      <c r="CG34">
        <f t="shared" si="64"/>
        <v>30</v>
      </c>
      <c r="CH34">
        <f t="shared" si="65"/>
        <v>9</v>
      </c>
      <c r="CI34">
        <f t="shared" si="66"/>
        <v>7</v>
      </c>
      <c r="CJ34" t="str">
        <f t="shared" si="67"/>
        <v>Not found</v>
      </c>
      <c r="CK34">
        <f t="shared" si="68"/>
        <v>14</v>
      </c>
      <c r="CL34">
        <f t="shared" si="69"/>
        <v>4</v>
      </c>
      <c r="CM34">
        <f t="shared" si="70"/>
        <v>12</v>
      </c>
      <c r="CN34">
        <f t="shared" si="71"/>
        <v>5</v>
      </c>
      <c r="CO34">
        <f t="shared" si="72"/>
        <v>17</v>
      </c>
      <c r="CP34">
        <f t="shared" si="73"/>
        <v>8</v>
      </c>
      <c r="CQ34">
        <f t="shared" si="74"/>
        <v>13</v>
      </c>
      <c r="CR34">
        <f t="shared" si="75"/>
        <v>7</v>
      </c>
      <c r="CS34">
        <f t="shared" si="76"/>
        <v>9</v>
      </c>
      <c r="CT34">
        <f t="shared" si="77"/>
        <v>8</v>
      </c>
      <c r="CU34">
        <f t="shared" si="78"/>
        <v>22</v>
      </c>
      <c r="CV34">
        <f t="shared" si="79"/>
        <v>3</v>
      </c>
      <c r="CW34" t="str">
        <f t="shared" si="80"/>
        <v>Customer ID033</v>
      </c>
      <c r="CX34" t="str">
        <f t="shared" si="81"/>
        <v>ALOK.TIWARI[AT]COMPANY.IN</v>
      </c>
      <c r="CY34" t="str">
        <f t="shared" si="82"/>
        <v>Product-ADP-033</v>
      </c>
      <c r="CZ34" t="str">
        <f t="shared" si="83"/>
        <v>prd_adp_033</v>
      </c>
      <c r="DA34" t="str">
        <f t="shared" si="84"/>
        <v>DEPARTMENT-PROC-033</v>
      </c>
      <c r="DB34" t="str">
        <f t="shared" si="85"/>
        <v>ALOK.TIWARI@COMPANY.IN</v>
      </c>
      <c r="DC34" t="str">
        <f t="shared" si="86"/>
        <v>HTTPS://ADAPTERS.COM</v>
      </c>
      <c r="DD34" t="str">
        <f t="shared" si="87"/>
        <v>alok/TIWARI//</v>
      </c>
      <c r="DE34" t="str">
        <f t="shared" si="88"/>
        <v>WholeSale</v>
      </c>
      <c r="DF34" t="str">
        <f t="shared" si="89"/>
        <v>Varanasi; UTTAR PRADESH;221001</v>
      </c>
      <c r="DG34" t="str">
        <f t="shared" si="90"/>
        <v>PROCUREMENT LEAD</v>
      </c>
      <c r="DH34" t="str">
        <f t="shared" si="91"/>
        <v>+91-9123456780</v>
      </c>
      <c r="DI34" t="str">
        <f t="shared" si="92"/>
        <v xml:space="preserve">  ADAPTER store PRO  </v>
      </c>
      <c r="DJ34" t="str">
        <f t="shared" si="93"/>
        <v>https:://adapters.com</v>
      </c>
      <c r="DK34" t="str">
        <f t="shared" si="94"/>
        <v>159  Godowlia</v>
      </c>
      <c r="DL34" t="str">
        <f t="shared" si="95"/>
        <v>ALOK.TIWARI</v>
      </c>
      <c r="DM34" t="str">
        <f t="shared" si="96"/>
        <v>alok.TIWARI@  ADAPTER store PRO  .com</v>
      </c>
      <c r="DN34" t="str">
        <f t="shared" si="97"/>
        <v>alok</v>
      </c>
      <c r="DO34" t="str">
        <f t="shared" si="98"/>
        <v>TIWARI</v>
      </c>
      <c r="DP34" t="str">
        <f t="shared" si="99"/>
        <v>TIWARI,alok</v>
      </c>
      <c r="DQ34" t="str">
        <f t="shared" si="100"/>
        <v>Name has11characters</v>
      </c>
      <c r="DR34" t="str">
        <f t="shared" si="101"/>
        <v>Check Domain</v>
      </c>
      <c r="DS34" t="str">
        <f t="shared" si="102"/>
        <v>+91-</v>
      </c>
      <c r="DT34" t="str">
        <f t="shared" si="103"/>
        <v>Cus033</v>
      </c>
      <c r="DU34" t="str">
        <f t="shared" si="104"/>
        <v>atiwari</v>
      </c>
      <c r="DV34" t="str">
        <f t="shared" si="105"/>
        <v>prd033</v>
      </c>
      <c r="DW34" t="str">
        <f t="shared" si="106"/>
        <v>+91-9123456780</v>
      </c>
      <c r="DX34" t="str">
        <f t="shared" si="107"/>
        <v>2024</v>
      </c>
      <c r="DY34" t="str">
        <f t="shared" si="108"/>
        <v>a</v>
      </c>
      <c r="DZ34" t="str">
        <f t="shared" si="109"/>
        <v>alokTIWARI@  ADAPTER store PRO  .com</v>
      </c>
      <c r="EA34" t="str">
        <f t="shared" si="110"/>
        <v>Wholesale</v>
      </c>
      <c r="EB34" t="str">
        <f t="shared" si="111"/>
        <v>COMPANY.IN</v>
      </c>
      <c r="EC34">
        <f t="shared" si="112"/>
        <v>30</v>
      </c>
      <c r="ED34" t="str">
        <f t="shared" si="113"/>
        <v>Va33</v>
      </c>
      <c r="EE34" t="str">
        <f t="shared" si="114"/>
        <v>Varanasi- UTTAR PRADESH(221001)</v>
      </c>
      <c r="EF34" t="str">
        <f t="shared" si="115"/>
        <v>919123456780</v>
      </c>
      <c r="EG34" t="str">
        <f t="shared" si="116"/>
        <v>CUST-033</v>
      </c>
      <c r="EH34" t="str">
        <f t="shared" si="117"/>
        <v>public</v>
      </c>
      <c r="EI34" t="str">
        <f t="shared" si="118"/>
        <v>PRD-033-01Sep24</v>
      </c>
      <c r="EJ34" t="str">
        <f t="shared" si="119"/>
        <v>Wholesale</v>
      </c>
    </row>
    <row r="35" spans="1:140" x14ac:dyDescent="0.3">
      <c r="A35" t="s">
        <v>448</v>
      </c>
      <c r="B35" t="s">
        <v>1484</v>
      </c>
      <c r="C35" t="s">
        <v>1485</v>
      </c>
      <c r="D35" t="s">
        <v>449</v>
      </c>
      <c r="E35" t="s">
        <v>450</v>
      </c>
      <c r="F35" t="s">
        <v>451</v>
      </c>
      <c r="G35" t="s">
        <v>452</v>
      </c>
      <c r="H35" t="s">
        <v>1636</v>
      </c>
      <c r="I35" t="s">
        <v>1586</v>
      </c>
      <c r="J35">
        <v>570001</v>
      </c>
      <c r="K35" t="str">
        <f t="shared" si="9"/>
        <v>mysore, KARNATAKA,570001</v>
      </c>
      <c r="L35" t="s">
        <v>453</v>
      </c>
      <c r="M35" t="s">
        <v>454</v>
      </c>
      <c r="N35" t="s">
        <v>455</v>
      </c>
      <c r="O35" t="s">
        <v>78</v>
      </c>
      <c r="P35" t="s">
        <v>456</v>
      </c>
      <c r="Q35" t="s">
        <v>457</v>
      </c>
      <c r="R35" t="s">
        <v>458</v>
      </c>
      <c r="S35" t="s">
        <v>459</v>
      </c>
      <c r="T35" t="s">
        <v>460</v>
      </c>
      <c r="U35" t="str">
        <f t="shared" si="120"/>
        <v>RADHIKA PILLAI</v>
      </c>
      <c r="V35" t="str">
        <f t="shared" si="121"/>
        <v>radhika.pillai@mail.com</v>
      </c>
      <c r="W35" t="str">
        <f t="shared" si="10"/>
        <v>Mysore</v>
      </c>
      <c r="X35" t="str">
        <f t="shared" si="122"/>
        <v>radhika pillai</v>
      </c>
      <c r="Y35" t="str">
        <f t="shared" si="11"/>
        <v>RETAIL</v>
      </c>
      <c r="Z35" t="str">
        <f t="shared" si="12"/>
        <v>usb hub world</v>
      </c>
      <c r="AA35" t="str">
        <f t="shared" si="13"/>
        <v>It Support</v>
      </c>
      <c r="AB35" t="str">
        <f t="shared" si="123"/>
        <v>357 Sayyaji Rao Road</v>
      </c>
      <c r="AC35" t="str">
        <f t="shared" si="14"/>
        <v>DEPT-IT-034</v>
      </c>
      <c r="AD35" t="str">
        <f t="shared" si="15"/>
        <v>Anker 7-Port Usb Hub</v>
      </c>
      <c r="AE35" t="str">
        <f t="shared" si="16"/>
        <v>www.usbhub.in</v>
      </c>
      <c r="AF35" t="str">
        <f t="shared" si="17"/>
        <v>Power delivery query</v>
      </c>
      <c r="AG35" t="str">
        <f t="shared" si="124"/>
        <v>CUST034</v>
      </c>
      <c r="AH35" t="str">
        <f t="shared" si="18"/>
        <v>PRD-HUB-034</v>
      </c>
      <c r="AI35" t="str">
        <f t="shared" si="125"/>
        <v>Radhika Pillai</v>
      </c>
      <c r="AJ35" t="str">
        <f t="shared" si="126"/>
        <v>(0821) 3698-7412</v>
      </c>
      <c r="AK35" t="str">
        <f t="shared" si="19"/>
        <v>retail</v>
      </c>
      <c r="AL35" t="str">
        <f t="shared" si="20"/>
        <v>Usb Hub World</v>
      </c>
      <c r="AM35" t="str">
        <f t="shared" si="127"/>
        <v>radhika.pillai@mail.com</v>
      </c>
      <c r="AN35" t="str">
        <f t="shared" si="21"/>
        <v>IT SUPPORT</v>
      </c>
      <c r="AO35" t="str">
        <f t="shared" si="128"/>
        <v>CUST034-radhika pillai</v>
      </c>
      <c r="AP35" t="str">
        <f t="shared" si="22"/>
        <v>radhika pillai</v>
      </c>
      <c r="AQ35" t="str">
        <f t="shared" si="23"/>
        <v>mysore, KARNATAKA</v>
      </c>
      <c r="AR35" t="str">
        <f t="shared" si="24"/>
        <v>prd-hub-034:ANKER 7-port USB hub</v>
      </c>
      <c r="AS35" t="str">
        <f t="shared" si="25"/>
        <v>radhika.pillai@mail.com|(0821) 3698-7412</v>
      </c>
      <c r="AT35" t="str">
        <f t="shared" si="26"/>
        <v>usb HUB world-IT Support</v>
      </c>
      <c r="AU35" t="str">
        <f t="shared" si="27"/>
        <v>retail 08-Sep-2024</v>
      </c>
      <c r="AV35" t="str">
        <f t="shared" si="28"/>
        <v>357 Sayyaji Rao Road,mysore, KARNATAKA,570001</v>
      </c>
      <c r="AW35" t="str">
        <f t="shared" si="29"/>
        <v>dept-it-034_IT Support</v>
      </c>
      <c r="AX35" t="str">
        <f t="shared" si="30"/>
        <v>Customer ID:CUST034</v>
      </c>
      <c r="AY35" t="str">
        <f t="shared" si="31"/>
        <v>Email:radhika.pillai@mail.com</v>
      </c>
      <c r="AZ35" t="str">
        <f t="shared" si="32"/>
        <v>WWW.USBHUB.IN/contact</v>
      </c>
      <c r="BA35" t="str">
        <f t="shared" si="33"/>
        <v>Order Placed On 08-Sep-2024</v>
      </c>
      <c r="BB35" t="str">
        <f t="shared" si="34"/>
        <v>radhika pillai(retail)</v>
      </c>
      <c r="BC35" t="str">
        <f t="shared" si="35"/>
        <v>prd-hub-034/ANKER 7-port USB hub</v>
      </c>
      <c r="BD35" t="str">
        <f t="shared" si="36"/>
        <v>call (0821) 3698-7412</v>
      </c>
      <c r="BE35" t="str">
        <f t="shared" si="37"/>
        <v>usb HUB world-dept-it-034</v>
      </c>
      <c r="BF35" t="str">
        <f t="shared" si="38"/>
        <v>CUST034-34</v>
      </c>
      <c r="BG35" t="str">
        <f t="shared" si="39"/>
        <v>Customer: radhika pillai,Type: retail</v>
      </c>
      <c r="BH35" t="str">
        <f t="shared" si="40"/>
        <v>mysore,india</v>
      </c>
      <c r="BI35" t="str">
        <f t="shared" si="41"/>
        <v>CUST</v>
      </c>
      <c r="BJ35" t="str">
        <f t="shared" si="42"/>
        <v>radhika.pi</v>
      </c>
      <c r="BK35" t="str">
        <f t="shared" si="43"/>
        <v xml:space="preserve">radhika </v>
      </c>
      <c r="BL35" t="str">
        <f t="shared" si="44"/>
        <v>prd-h</v>
      </c>
      <c r="BM35" t="str">
        <f t="shared" si="45"/>
        <v>ret</v>
      </c>
      <c r="BN35" t="str">
        <f t="shared" si="46"/>
        <v>(0821) 3</v>
      </c>
      <c r="BO35" t="str">
        <f t="shared" si="47"/>
        <v>mail.com</v>
      </c>
      <c r="BP35" t="str">
        <f t="shared" si="48"/>
        <v>mysore</v>
      </c>
      <c r="BQ35" t="str">
        <f t="shared" si="49"/>
        <v>T034</v>
      </c>
      <c r="BR35" t="str">
        <f t="shared" si="50"/>
        <v xml:space="preserve"> pillai</v>
      </c>
      <c r="BS35" t="str">
        <f t="shared" si="51"/>
        <v>ub-034</v>
      </c>
      <c r="BU35" t="str">
        <f t="shared" si="52"/>
        <v>-7412</v>
      </c>
      <c r="BV35" t="str">
        <f t="shared" si="53"/>
        <v>570001</v>
      </c>
      <c r="BW35" t="str">
        <f t="shared" si="54"/>
        <v xml:space="preserve"> KARNATAKA</v>
      </c>
      <c r="BX35" t="str">
        <f t="shared" si="55"/>
        <v>034</v>
      </c>
      <c r="BY35" t="str">
        <f t="shared" si="56"/>
        <v>it</v>
      </c>
      <c r="BZ35" t="str">
        <f t="shared" si="57"/>
        <v>hub</v>
      </c>
      <c r="CA35" t="str">
        <f t="shared" si="58"/>
        <v>Sep</v>
      </c>
      <c r="CB35" t="str">
        <f t="shared" si="59"/>
        <v>b HUB</v>
      </c>
      <c r="CC35">
        <f t="shared" si="60"/>
        <v>15</v>
      </c>
      <c r="CD35">
        <f t="shared" si="61"/>
        <v>14</v>
      </c>
      <c r="CE35">
        <f t="shared" si="62"/>
        <v>23</v>
      </c>
      <c r="CF35">
        <f t="shared" si="63"/>
        <v>8</v>
      </c>
      <c r="CG35">
        <f t="shared" si="64"/>
        <v>20</v>
      </c>
      <c r="CH35">
        <f t="shared" si="65"/>
        <v>7</v>
      </c>
      <c r="CI35">
        <f t="shared" si="66"/>
        <v>7</v>
      </c>
      <c r="CJ35" t="str">
        <f t="shared" si="67"/>
        <v>Not found</v>
      </c>
      <c r="CK35">
        <f t="shared" si="68"/>
        <v>16</v>
      </c>
      <c r="CL35">
        <f t="shared" si="69"/>
        <v>4</v>
      </c>
      <c r="CM35">
        <f t="shared" si="70"/>
        <v>20</v>
      </c>
      <c r="CN35">
        <f t="shared" si="71"/>
        <v>8</v>
      </c>
      <c r="CO35">
        <f t="shared" si="72"/>
        <v>13</v>
      </c>
      <c r="CP35">
        <f t="shared" si="73"/>
        <v>8</v>
      </c>
      <c r="CQ35">
        <f t="shared" si="74"/>
        <v>11</v>
      </c>
      <c r="CR35" t="str">
        <f t="shared" si="75"/>
        <v>not found</v>
      </c>
      <c r="CS35">
        <f t="shared" si="76"/>
        <v>6</v>
      </c>
      <c r="CT35">
        <f t="shared" si="77"/>
        <v>8</v>
      </c>
      <c r="CU35">
        <f t="shared" si="78"/>
        <v>24</v>
      </c>
      <c r="CV35">
        <f t="shared" si="79"/>
        <v>3</v>
      </c>
      <c r="CW35" t="str">
        <f t="shared" si="80"/>
        <v>Customer ID034</v>
      </c>
      <c r="CX35" t="str">
        <f t="shared" si="81"/>
        <v>radhika.pillai[AT]mail.com</v>
      </c>
      <c r="CY35" t="str">
        <f t="shared" si="82"/>
        <v>Product-HUB-034</v>
      </c>
      <c r="CZ35" t="str">
        <f t="shared" si="83"/>
        <v>prd_hub_034</v>
      </c>
      <c r="DA35" t="str">
        <f t="shared" si="84"/>
        <v>DEPARTMENT-IT-034</v>
      </c>
      <c r="DB35" t="str">
        <f t="shared" si="85"/>
        <v>RADHIKA.PILLAI@MAIL.in</v>
      </c>
      <c r="DC35" t="str">
        <f t="shared" si="86"/>
        <v>https://www..USBHUB.IN</v>
      </c>
      <c r="DD35" t="str">
        <f t="shared" si="87"/>
        <v>radhika/pillai</v>
      </c>
      <c r="DE35" t="str">
        <f t="shared" si="88"/>
        <v>RETAIL CUSTOMER</v>
      </c>
      <c r="DF35" t="str">
        <f t="shared" si="89"/>
        <v>mysore; KARNATAKA;570001</v>
      </c>
      <c r="DG35" t="str">
        <f t="shared" si="90"/>
        <v>IT Support</v>
      </c>
      <c r="DH35" t="str">
        <f t="shared" si="91"/>
        <v xml:space="preserve"> 0821  3698-7412</v>
      </c>
      <c r="DI35" t="str">
        <f t="shared" si="92"/>
        <v>usb HUB world</v>
      </c>
      <c r="DJ35" t="str">
        <f t="shared" si="93"/>
        <v>WWW.USBHUB.IN</v>
      </c>
      <c r="DK35" t="str">
        <f t="shared" si="94"/>
        <v>357  Sayyaji  Rao  Road</v>
      </c>
      <c r="DL35" t="str">
        <f t="shared" si="95"/>
        <v>radhika.pillai</v>
      </c>
      <c r="DM35" t="str">
        <f t="shared" si="96"/>
        <v>radhika.pillai@usb HUB world.com</v>
      </c>
      <c r="DN35" t="str">
        <f t="shared" si="97"/>
        <v>radhika</v>
      </c>
      <c r="DO35" t="str">
        <f t="shared" si="98"/>
        <v>pillai</v>
      </c>
      <c r="DP35" t="str">
        <f t="shared" si="99"/>
        <v>pillai,radhika</v>
      </c>
      <c r="DQ35" t="str">
        <f t="shared" si="100"/>
        <v>Name has14characters</v>
      </c>
      <c r="DR35" t="str">
        <f t="shared" si="101"/>
        <v>Valid</v>
      </c>
      <c r="DS35" t="str">
        <f t="shared" si="102"/>
        <v>(082</v>
      </c>
      <c r="DT35" t="str">
        <f t="shared" si="103"/>
        <v>CUS034</v>
      </c>
      <c r="DU35" t="str">
        <f t="shared" si="104"/>
        <v>rpillai</v>
      </c>
      <c r="DV35" t="str">
        <f t="shared" si="105"/>
        <v>prd034</v>
      </c>
      <c r="DW35" t="str">
        <f t="shared" si="106"/>
        <v>(0821) 3698-7412</v>
      </c>
      <c r="DX35" t="str">
        <f t="shared" si="107"/>
        <v>2024</v>
      </c>
      <c r="DY35" t="str">
        <f t="shared" si="108"/>
        <v>r</v>
      </c>
      <c r="DZ35" t="str">
        <f t="shared" si="109"/>
        <v>radhikapillai@usb HUB world.com</v>
      </c>
      <c r="EA35" t="str">
        <f t="shared" si="110"/>
        <v>Retail</v>
      </c>
      <c r="EB35" t="str">
        <f t="shared" si="111"/>
        <v>mail.com</v>
      </c>
      <c r="EC35">
        <f t="shared" si="112"/>
        <v>20</v>
      </c>
      <c r="ED35" t="str">
        <f t="shared" si="113"/>
        <v>my34</v>
      </c>
      <c r="EE35" t="str">
        <f t="shared" si="114"/>
        <v>mysore- KARNATAKA(570001)</v>
      </c>
      <c r="EF35" t="str">
        <f t="shared" si="115"/>
        <v>082136987412</v>
      </c>
      <c r="EG35" t="str">
        <f t="shared" si="116"/>
        <v>CUST-034</v>
      </c>
      <c r="EH35" t="str">
        <f t="shared" si="117"/>
        <v>public</v>
      </c>
      <c r="EI35" t="str">
        <f t="shared" si="118"/>
        <v>PRD-034-08Sep24</v>
      </c>
      <c r="EJ35" t="str">
        <f t="shared" si="119"/>
        <v>Retail</v>
      </c>
    </row>
    <row r="36" spans="1:140" x14ac:dyDescent="0.3">
      <c r="A36" t="s">
        <v>461</v>
      </c>
      <c r="B36" t="s">
        <v>1486</v>
      </c>
      <c r="C36" t="s">
        <v>1487</v>
      </c>
      <c r="D36" t="s">
        <v>462</v>
      </c>
      <c r="E36" t="s">
        <v>463</v>
      </c>
      <c r="F36" t="s">
        <v>464</v>
      </c>
      <c r="G36" t="s">
        <v>465</v>
      </c>
      <c r="H36" t="s">
        <v>1637</v>
      </c>
      <c r="I36" t="s">
        <v>1583</v>
      </c>
      <c r="J36">
        <v>500034</v>
      </c>
      <c r="K36" t="str">
        <f t="shared" si="9"/>
        <v>HYDERABAD, Telangana,500034</v>
      </c>
      <c r="L36" t="s">
        <v>466</v>
      </c>
      <c r="M36" t="s">
        <v>467</v>
      </c>
      <c r="N36" t="s">
        <v>468</v>
      </c>
      <c r="O36" t="s">
        <v>132</v>
      </c>
      <c r="P36" t="s">
        <v>469</v>
      </c>
      <c r="Q36" t="s">
        <v>470</v>
      </c>
      <c r="R36" t="s">
        <v>471</v>
      </c>
      <c r="S36" t="s">
        <v>472</v>
      </c>
      <c r="T36" t="s">
        <v>473</v>
      </c>
      <c r="U36" t="str">
        <f t="shared" si="120"/>
        <v xml:space="preserve">  HARISH REDDY</v>
      </c>
      <c r="V36" t="str">
        <f t="shared" si="121"/>
        <v>harish_reddy@email.in</v>
      </c>
      <c r="W36" t="str">
        <f t="shared" si="10"/>
        <v>Hyderabad</v>
      </c>
      <c r="X36" t="str">
        <f t="shared" si="122"/>
        <v>HARISH reddy</v>
      </c>
      <c r="Y36" t="str">
        <f t="shared" si="11"/>
        <v>CORPORATE</v>
      </c>
      <c r="Z36" t="str">
        <f t="shared" si="12"/>
        <v>docking solutions</v>
      </c>
      <c r="AA36" t="str">
        <f t="shared" si="13"/>
        <v>System Admin</v>
      </c>
      <c r="AB36" t="str">
        <f t="shared" si="123"/>
        <v>753 Banjara Hills</v>
      </c>
      <c r="AC36" t="str">
        <f t="shared" si="14"/>
        <v>DEPT-SYS-035</v>
      </c>
      <c r="AD36" t="str">
        <f t="shared" si="15"/>
        <v>Dell Wd19 Docking Station</v>
      </c>
      <c r="AE36" t="str">
        <f t="shared" si="16"/>
        <v>www.docking.com</v>
      </c>
      <c r="AF36" t="str">
        <f t="shared" si="17"/>
        <v>Laptop compatibility check</v>
      </c>
      <c r="AG36" t="str">
        <f t="shared" si="124"/>
        <v>CUST035</v>
      </c>
      <c r="AH36" t="str">
        <f t="shared" si="18"/>
        <v>PRD-DOCK-035</v>
      </c>
      <c r="AI36" t="str">
        <f t="shared" si="125"/>
        <v xml:space="preserve">  Harish Reddy</v>
      </c>
      <c r="AJ36" t="str">
        <f t="shared" si="126"/>
        <v>040-9876-0123</v>
      </c>
      <c r="AK36" t="str">
        <f t="shared" si="19"/>
        <v>corporate</v>
      </c>
      <c r="AL36" t="str">
        <f t="shared" si="20"/>
        <v>Docking Solutions</v>
      </c>
      <c r="AM36" t="str">
        <f t="shared" si="127"/>
        <v>harish_reddy@email.in</v>
      </c>
      <c r="AN36" t="str">
        <f t="shared" si="21"/>
        <v>SYSTEM ADMIN</v>
      </c>
      <c r="AO36" t="str">
        <f t="shared" si="128"/>
        <v>cust035-  HARISH reddy</v>
      </c>
      <c r="AP36" t="str">
        <f t="shared" si="22"/>
        <v>HARISH reddy</v>
      </c>
      <c r="AQ36" t="str">
        <f t="shared" si="23"/>
        <v>HYDERABAD, Telangana</v>
      </c>
      <c r="AR36" t="str">
        <f t="shared" si="24"/>
        <v>PRD-DOCK-035:dell WD19 DOCKING station</v>
      </c>
      <c r="AS36" t="str">
        <f t="shared" si="25"/>
        <v>harish_reddy@email.in|040-9876-0123</v>
      </c>
      <c r="AT36" t="str">
        <f t="shared" si="26"/>
        <v>DOCKING solutions-System Admin</v>
      </c>
      <c r="AU36" t="str">
        <f t="shared" si="27"/>
        <v>Corporate 15-Sep-2024</v>
      </c>
      <c r="AV36" t="str">
        <f t="shared" si="28"/>
        <v xml:space="preserve">  753 Banjara Hills  ,HYDERABAD, Telangana,500034</v>
      </c>
      <c r="AW36" t="str">
        <f t="shared" si="29"/>
        <v>DEPT-SYS-035_System Admin</v>
      </c>
      <c r="AX36" t="str">
        <f t="shared" si="30"/>
        <v>Customer ID:cust035</v>
      </c>
      <c r="AY36" t="str">
        <f t="shared" si="31"/>
        <v>Email:harish_reddy@email.in</v>
      </c>
      <c r="AZ36" t="str">
        <f t="shared" si="32"/>
        <v>www.docking.com/contact</v>
      </c>
      <c r="BA36" t="str">
        <f t="shared" si="33"/>
        <v>Order Placed On 15-Sep-2024</v>
      </c>
      <c r="BB36" t="str">
        <f t="shared" si="34"/>
        <v xml:space="preserve">  HARISH reddy(Corporate)</v>
      </c>
      <c r="BC36" t="str">
        <f t="shared" si="35"/>
        <v>PRD-DOCK-035/dell WD19 DOCKING station</v>
      </c>
      <c r="BD36" t="str">
        <f t="shared" si="36"/>
        <v>call 040-9876-0123</v>
      </c>
      <c r="BE36" t="str">
        <f t="shared" si="37"/>
        <v>DOCKING solutions-DEPT-SYS-035</v>
      </c>
      <c r="BF36" t="str">
        <f t="shared" si="38"/>
        <v>cust035-35</v>
      </c>
      <c r="BG36" t="str">
        <f t="shared" si="39"/>
        <v>Customer:   HARISH reddy,Type: Corporate</v>
      </c>
      <c r="BH36" t="str">
        <f t="shared" si="40"/>
        <v>HYDERABAD,india</v>
      </c>
      <c r="BI36" t="str">
        <f t="shared" si="41"/>
        <v>cust</v>
      </c>
      <c r="BJ36" t="str">
        <f t="shared" si="42"/>
        <v>harish_red</v>
      </c>
      <c r="BK36" t="str">
        <f t="shared" si="43"/>
        <v xml:space="preserve">HARISH </v>
      </c>
      <c r="BL36" t="str">
        <f t="shared" si="44"/>
        <v>PRD-D</v>
      </c>
      <c r="BM36" t="str">
        <f t="shared" si="45"/>
        <v>Cor</v>
      </c>
      <c r="BN36" t="str">
        <f t="shared" si="46"/>
        <v>040-9876</v>
      </c>
      <c r="BO36" t="str">
        <f t="shared" si="47"/>
        <v>email.in</v>
      </c>
      <c r="BP36" t="str">
        <f t="shared" si="48"/>
        <v>HYDERABAD</v>
      </c>
      <c r="BQ36" t="str">
        <f t="shared" si="49"/>
        <v>t035</v>
      </c>
      <c r="BR36" t="str">
        <f t="shared" si="50"/>
        <v xml:space="preserve"> reddy</v>
      </c>
      <c r="BS36" t="str">
        <f t="shared" si="51"/>
        <v>CK-035</v>
      </c>
      <c r="BU36" t="str">
        <f t="shared" si="52"/>
        <v>-0123</v>
      </c>
      <c r="BV36" t="str">
        <f t="shared" si="53"/>
        <v>500034</v>
      </c>
      <c r="BW36" t="str">
        <f t="shared" si="54"/>
        <v xml:space="preserve"> Telangana</v>
      </c>
      <c r="BX36" t="str">
        <f t="shared" si="55"/>
        <v>035</v>
      </c>
      <c r="BY36" t="str">
        <f t="shared" si="56"/>
        <v>SYS</v>
      </c>
      <c r="BZ36" t="str">
        <f t="shared" si="57"/>
        <v>DOCK</v>
      </c>
      <c r="CA36" t="str">
        <f t="shared" si="58"/>
        <v>Sep</v>
      </c>
      <c r="CB36" t="str">
        <f t="shared" si="59"/>
        <v>CKING</v>
      </c>
      <c r="CC36">
        <f t="shared" si="60"/>
        <v>13</v>
      </c>
      <c r="CD36">
        <f t="shared" si="61"/>
        <v>14</v>
      </c>
      <c r="CE36">
        <f t="shared" si="62"/>
        <v>21</v>
      </c>
      <c r="CF36">
        <f t="shared" si="63"/>
        <v>1</v>
      </c>
      <c r="CG36">
        <f t="shared" si="64"/>
        <v>25</v>
      </c>
      <c r="CH36">
        <f t="shared" si="65"/>
        <v>10</v>
      </c>
      <c r="CI36">
        <f t="shared" si="66"/>
        <v>7</v>
      </c>
      <c r="CJ36">
        <f t="shared" si="67"/>
        <v>1</v>
      </c>
      <c r="CK36">
        <f t="shared" si="68"/>
        <v>13</v>
      </c>
      <c r="CL36">
        <f t="shared" si="69"/>
        <v>4</v>
      </c>
      <c r="CM36">
        <f t="shared" si="70"/>
        <v>21</v>
      </c>
      <c r="CN36">
        <f t="shared" si="71"/>
        <v>19</v>
      </c>
      <c r="CO36">
        <f t="shared" si="72"/>
        <v>17</v>
      </c>
      <c r="CP36">
        <f t="shared" si="73"/>
        <v>9</v>
      </c>
      <c r="CQ36">
        <f t="shared" si="74"/>
        <v>12</v>
      </c>
      <c r="CR36" t="str">
        <f t="shared" si="75"/>
        <v>not found</v>
      </c>
      <c r="CS36">
        <f t="shared" si="76"/>
        <v>9</v>
      </c>
      <c r="CT36">
        <f t="shared" si="77"/>
        <v>9</v>
      </c>
      <c r="CU36">
        <f t="shared" si="78"/>
        <v>26</v>
      </c>
      <c r="CV36">
        <f t="shared" si="79"/>
        <v>3</v>
      </c>
      <c r="CW36" t="str">
        <f t="shared" si="80"/>
        <v>Customer ID035</v>
      </c>
      <c r="CX36" t="str">
        <f t="shared" si="81"/>
        <v>harish_reddy[AT]email.in</v>
      </c>
      <c r="CY36" t="str">
        <f t="shared" si="82"/>
        <v>Product-DOCK-035</v>
      </c>
      <c r="CZ36" t="str">
        <f t="shared" si="83"/>
        <v>PRD_DOCK_035</v>
      </c>
      <c r="DA36" t="str">
        <f t="shared" si="84"/>
        <v>DEPARTMENT-SYS-035</v>
      </c>
      <c r="DB36" t="str">
        <f t="shared" si="85"/>
        <v>HARISH_REDDY@EMAIL.IN</v>
      </c>
      <c r="DC36" t="str">
        <f t="shared" si="86"/>
        <v>https://www..DOCKING.COM</v>
      </c>
      <c r="DD36" t="str">
        <f t="shared" si="87"/>
        <v>//HARISH/reddy</v>
      </c>
      <c r="DE36" t="str">
        <f t="shared" si="88"/>
        <v>Corporate</v>
      </c>
      <c r="DF36" t="str">
        <f t="shared" si="89"/>
        <v>HYDERABAD; Telangana;500034</v>
      </c>
      <c r="DG36" t="str">
        <f t="shared" si="90"/>
        <v>System Admin</v>
      </c>
      <c r="DH36" t="str">
        <f t="shared" si="91"/>
        <v>040-9876-0123</v>
      </c>
      <c r="DI36" t="str">
        <f t="shared" si="92"/>
        <v>DOCKING solutions</v>
      </c>
      <c r="DJ36" t="str">
        <f t="shared" si="93"/>
        <v>www.docking.com</v>
      </c>
      <c r="DK36" t="str">
        <f t="shared" si="94"/>
        <v xml:space="preserve">    753  Banjara  Hills    </v>
      </c>
      <c r="DL36" t="str">
        <f t="shared" si="95"/>
        <v>harish_reddy</v>
      </c>
      <c r="DM36" t="str">
        <f t="shared" si="96"/>
        <v>HARISH.reddy@DOCKING solutions.com</v>
      </c>
      <c r="DN36" t="str">
        <f t="shared" si="97"/>
        <v>HARISH</v>
      </c>
      <c r="DO36" t="str">
        <f t="shared" si="98"/>
        <v>reddy</v>
      </c>
      <c r="DP36" t="str">
        <f t="shared" si="99"/>
        <v>reddy,HARISH</v>
      </c>
      <c r="DQ36" t="str">
        <f t="shared" si="100"/>
        <v>Name has12characters</v>
      </c>
      <c r="DR36" t="str">
        <f t="shared" si="101"/>
        <v>Check Domain</v>
      </c>
      <c r="DS36" t="str">
        <f t="shared" si="102"/>
        <v>040-</v>
      </c>
      <c r="DT36" t="str">
        <f t="shared" si="103"/>
        <v>cus035</v>
      </c>
      <c r="DU36" t="str">
        <f t="shared" si="104"/>
        <v>Hreddy</v>
      </c>
      <c r="DV36" t="str">
        <f t="shared" si="105"/>
        <v>PRD035</v>
      </c>
      <c r="DW36" t="str">
        <f t="shared" si="106"/>
        <v>040-9876-0123</v>
      </c>
      <c r="DX36" t="str">
        <f t="shared" si="107"/>
        <v>2024</v>
      </c>
      <c r="DY36" t="str">
        <f t="shared" si="108"/>
        <v>H</v>
      </c>
      <c r="DZ36" t="str">
        <f t="shared" si="109"/>
        <v>HARISHreddy@DOCKING solutions.com</v>
      </c>
      <c r="EA36" t="str">
        <f t="shared" si="110"/>
        <v/>
      </c>
      <c r="EB36" t="str">
        <f t="shared" si="111"/>
        <v>email.in</v>
      </c>
      <c r="EC36">
        <f t="shared" si="112"/>
        <v>25</v>
      </c>
      <c r="ED36" t="str">
        <f t="shared" si="113"/>
        <v>HY35</v>
      </c>
      <c r="EE36" t="str">
        <f t="shared" si="114"/>
        <v>HYDERABAD- Telangana(500034)</v>
      </c>
      <c r="EF36" t="str">
        <f t="shared" si="115"/>
        <v>04098760123</v>
      </c>
      <c r="EG36" t="str">
        <f t="shared" si="116"/>
        <v>CUST-035</v>
      </c>
      <c r="EH36" t="str">
        <f t="shared" si="117"/>
        <v>public</v>
      </c>
      <c r="EI36" t="str">
        <f t="shared" si="118"/>
        <v>PRD-035-15Sep24</v>
      </c>
      <c r="EJ36" t="str">
        <f t="shared" si="119"/>
        <v>Corporate</v>
      </c>
    </row>
    <row r="37" spans="1:140" x14ac:dyDescent="0.3">
      <c r="A37" t="s">
        <v>474</v>
      </c>
      <c r="B37" t="s">
        <v>1488</v>
      </c>
      <c r="C37" t="s">
        <v>1489</v>
      </c>
      <c r="D37" t="s">
        <v>475</v>
      </c>
      <c r="E37" t="s">
        <v>476</v>
      </c>
      <c r="F37" t="s">
        <v>477</v>
      </c>
      <c r="G37" t="s">
        <v>478</v>
      </c>
      <c r="H37" t="s">
        <v>1638</v>
      </c>
      <c r="I37" t="s">
        <v>1597</v>
      </c>
      <c r="J37">
        <v>422001</v>
      </c>
      <c r="K37" t="str">
        <f t="shared" si="9"/>
        <v>Nashik, MAHARASHTRA,422001</v>
      </c>
      <c r="L37" t="s">
        <v>479</v>
      </c>
      <c r="M37" t="s">
        <v>480</v>
      </c>
      <c r="N37" t="s">
        <v>481</v>
      </c>
      <c r="O37" t="s">
        <v>36</v>
      </c>
      <c r="P37" t="s">
        <v>482</v>
      </c>
      <c r="Q37" t="s">
        <v>483</v>
      </c>
      <c r="R37" t="s">
        <v>39</v>
      </c>
      <c r="S37" t="s">
        <v>484</v>
      </c>
      <c r="T37" t="s">
        <v>485</v>
      </c>
      <c r="U37" t="str">
        <f t="shared" si="120"/>
        <v xml:space="preserve">MADHURI DESHMUKH  </v>
      </c>
      <c r="V37" t="str">
        <f t="shared" si="121"/>
        <v>madhuri.deshmukh@corporate.in</v>
      </c>
      <c r="W37" t="str">
        <f t="shared" si="10"/>
        <v>Nashik</v>
      </c>
      <c r="X37" t="str">
        <f t="shared" si="122"/>
        <v>madhuri DESHMUKH</v>
      </c>
      <c r="Y37" t="str">
        <f t="shared" si="11"/>
        <v>WHOLESALE</v>
      </c>
      <c r="Z37" t="str">
        <f t="shared" si="12"/>
        <v xml:space="preserve">  bag world india  </v>
      </c>
      <c r="AA37" t="str">
        <f t="shared" si="13"/>
        <v>Purchase Head</v>
      </c>
      <c r="AB37" t="str">
        <f t="shared" si="123"/>
        <v>951 Mumbai Naka</v>
      </c>
      <c r="AC37" t="str">
        <f t="shared" si="14"/>
        <v>DEPT-PUR-036</v>
      </c>
      <c r="AD37" t="str">
        <f t="shared" si="15"/>
        <v>Targus Laptop Bag 15.6 Inch</v>
      </c>
      <c r="AE37" t="str">
        <f t="shared" si="16"/>
        <v>https://www.bags.in</v>
      </c>
      <c r="AF37" t="str">
        <f t="shared" si="17"/>
        <v>Color: Black preferred</v>
      </c>
      <c r="AG37" t="str">
        <f t="shared" si="124"/>
        <v>CUST036</v>
      </c>
      <c r="AH37" t="str">
        <f t="shared" si="18"/>
        <v>PRD-BAG-036</v>
      </c>
      <c r="AI37" t="str">
        <f t="shared" si="125"/>
        <v xml:space="preserve">Madhuri Deshmukh  </v>
      </c>
      <c r="AJ37" t="str">
        <f t="shared" si="126"/>
        <v>+91-9988776600</v>
      </c>
      <c r="AK37" t="str">
        <f t="shared" si="19"/>
        <v>wholesale</v>
      </c>
      <c r="AL37" t="str">
        <f t="shared" si="20"/>
        <v>Bag World India</v>
      </c>
      <c r="AM37" t="str">
        <f t="shared" si="127"/>
        <v>madhuri.deshmukh@corporate.in</v>
      </c>
      <c r="AN37" t="str">
        <f t="shared" si="21"/>
        <v>PURCHASE HEAD</v>
      </c>
      <c r="AO37" t="str">
        <f t="shared" si="128"/>
        <v xml:space="preserve">Cust036-madhuri DESHMUKH  </v>
      </c>
      <c r="AP37" t="str">
        <f t="shared" si="22"/>
        <v>madhuri DESHMUKH</v>
      </c>
      <c r="AQ37" t="str">
        <f t="shared" si="23"/>
        <v>Nashik, MAHARASHTRA</v>
      </c>
      <c r="AR37" t="str">
        <f t="shared" si="24"/>
        <v>prd-bag-036:TARGUS laptop BAG 15.6 inch</v>
      </c>
      <c r="AS37" t="str">
        <f t="shared" si="25"/>
        <v>MADHURI.DESHMUKH@CORPORATE.IN|+91-9988776600</v>
      </c>
      <c r="AT37" t="str">
        <f t="shared" si="26"/>
        <v xml:space="preserve">  BAG world INDIA  -PURCHASE HEAD</v>
      </c>
      <c r="AU37" t="str">
        <f t="shared" si="27"/>
        <v>wholesale 22-Sep-2024</v>
      </c>
      <c r="AV37" t="str">
        <f t="shared" si="28"/>
        <v>951 Mumbai Naka,Nashik, MAHARASHTRA,422001</v>
      </c>
      <c r="AW37" t="str">
        <f t="shared" si="29"/>
        <v>dept-pur-036_PURCHASE HEAD</v>
      </c>
      <c r="AX37" t="str">
        <f t="shared" si="30"/>
        <v>Customer ID:Cust036</v>
      </c>
      <c r="AY37" t="str">
        <f t="shared" si="31"/>
        <v>Email:MADHURI.DESHMUKH@CORPORATE.IN</v>
      </c>
      <c r="AZ37" t="str">
        <f t="shared" si="32"/>
        <v>https://www.bags.in/contact</v>
      </c>
      <c r="BA37" t="str">
        <f t="shared" si="33"/>
        <v>Order Placed On 22-Sep-2024</v>
      </c>
      <c r="BB37" t="str">
        <f t="shared" si="34"/>
        <v>madhuri DESHMUKH  (wholesale)</v>
      </c>
      <c r="BC37" t="str">
        <f t="shared" si="35"/>
        <v>prd-bag-036/TARGUS laptop BAG 15.6 inch</v>
      </c>
      <c r="BD37" t="str">
        <f t="shared" si="36"/>
        <v>call +91-9988776600</v>
      </c>
      <c r="BE37" t="str">
        <f t="shared" si="37"/>
        <v xml:space="preserve">  BAG world INDIA  -dept-pur-036</v>
      </c>
      <c r="BF37" t="str">
        <f t="shared" si="38"/>
        <v>Cust036-36</v>
      </c>
      <c r="BG37" t="str">
        <f t="shared" si="39"/>
        <v>Customer: madhuri DESHMUKH  ,Type: wholesale</v>
      </c>
      <c r="BH37" t="str">
        <f t="shared" si="40"/>
        <v>Nashik,india</v>
      </c>
      <c r="BI37" t="str">
        <f t="shared" si="41"/>
        <v>Cust</v>
      </c>
      <c r="BJ37" t="str">
        <f t="shared" si="42"/>
        <v>MADHURI.DE</v>
      </c>
      <c r="BK37" t="str">
        <f t="shared" si="43"/>
        <v xml:space="preserve">madhuri </v>
      </c>
      <c r="BL37" t="str">
        <f t="shared" si="44"/>
        <v>prd-b</v>
      </c>
      <c r="BM37" t="str">
        <f t="shared" si="45"/>
        <v>who</v>
      </c>
      <c r="BN37" t="str">
        <f t="shared" si="46"/>
        <v>+91-9988</v>
      </c>
      <c r="BO37" t="str">
        <f t="shared" si="47"/>
        <v>CORPORATE.IN</v>
      </c>
      <c r="BP37" t="str">
        <f t="shared" si="48"/>
        <v>Nashik</v>
      </c>
      <c r="BQ37" t="str">
        <f t="shared" si="49"/>
        <v>t036</v>
      </c>
      <c r="BR37" t="str">
        <f t="shared" si="50"/>
        <v>ESHMUKH</v>
      </c>
      <c r="BS37" t="str">
        <f t="shared" si="51"/>
        <v>ag-036</v>
      </c>
      <c r="BU37" t="str">
        <f t="shared" si="52"/>
        <v>76600</v>
      </c>
      <c r="BV37" t="str">
        <f t="shared" si="53"/>
        <v>422001</v>
      </c>
      <c r="BW37" t="str">
        <f t="shared" si="54"/>
        <v xml:space="preserve"> MAHARASHTRA</v>
      </c>
      <c r="BX37" t="str">
        <f t="shared" si="55"/>
        <v>036</v>
      </c>
      <c r="BY37" t="str">
        <f t="shared" si="56"/>
        <v>pur</v>
      </c>
      <c r="BZ37" t="str">
        <f t="shared" si="57"/>
        <v>bag</v>
      </c>
      <c r="CA37" t="str">
        <f t="shared" si="58"/>
        <v>Sep</v>
      </c>
      <c r="CB37" t="str">
        <f t="shared" si="59"/>
        <v>BAG w</v>
      </c>
      <c r="CC37">
        <f t="shared" si="60"/>
        <v>17</v>
      </c>
      <c r="CD37">
        <f t="shared" si="61"/>
        <v>18</v>
      </c>
      <c r="CE37">
        <f t="shared" si="62"/>
        <v>29</v>
      </c>
      <c r="CF37">
        <f t="shared" si="63"/>
        <v>8</v>
      </c>
      <c r="CG37">
        <f t="shared" si="64"/>
        <v>27</v>
      </c>
      <c r="CH37">
        <f t="shared" si="65"/>
        <v>7</v>
      </c>
      <c r="CI37">
        <f t="shared" si="66"/>
        <v>7</v>
      </c>
      <c r="CJ37">
        <f t="shared" si="67"/>
        <v>9</v>
      </c>
      <c r="CK37">
        <f t="shared" si="68"/>
        <v>14</v>
      </c>
      <c r="CL37">
        <f t="shared" si="69"/>
        <v>4</v>
      </c>
      <c r="CM37">
        <f t="shared" si="70"/>
        <v>15</v>
      </c>
      <c r="CN37">
        <f t="shared" si="71"/>
        <v>8</v>
      </c>
      <c r="CO37">
        <f t="shared" si="72"/>
        <v>15</v>
      </c>
      <c r="CP37">
        <f t="shared" si="73"/>
        <v>8</v>
      </c>
      <c r="CQ37">
        <f t="shared" si="74"/>
        <v>12</v>
      </c>
      <c r="CR37">
        <f t="shared" si="75"/>
        <v>7</v>
      </c>
      <c r="CS37">
        <f t="shared" si="76"/>
        <v>9</v>
      </c>
      <c r="CT37">
        <f t="shared" si="77"/>
        <v>8</v>
      </c>
      <c r="CU37">
        <f t="shared" si="78"/>
        <v>22</v>
      </c>
      <c r="CV37">
        <f t="shared" si="79"/>
        <v>3</v>
      </c>
      <c r="CW37" t="str">
        <f t="shared" si="80"/>
        <v>Customer ID036</v>
      </c>
      <c r="CX37" t="str">
        <f t="shared" si="81"/>
        <v>MADHURI.DESHMUKH[AT]CORPORATE.IN</v>
      </c>
      <c r="CY37" t="str">
        <f t="shared" si="82"/>
        <v>Product-BAG-036</v>
      </c>
      <c r="CZ37" t="str">
        <f t="shared" si="83"/>
        <v>prd_bag_036</v>
      </c>
      <c r="DA37" t="str">
        <f t="shared" si="84"/>
        <v>DEPARTMENT-PUR-036</v>
      </c>
      <c r="DB37" t="str">
        <f t="shared" si="85"/>
        <v>MADHURI.DESHMUKH@CORPORATE.IN</v>
      </c>
      <c r="DC37" t="str">
        <f t="shared" si="86"/>
        <v>HTTPS://https://www..BAGS.IN</v>
      </c>
      <c r="DD37" t="str">
        <f t="shared" si="87"/>
        <v>madhuri/DESHMUKH//</v>
      </c>
      <c r="DE37" t="str">
        <f t="shared" si="88"/>
        <v>wholesale</v>
      </c>
      <c r="DF37" t="str">
        <f t="shared" si="89"/>
        <v>Nashik; MAHARASHTRA;422001</v>
      </c>
      <c r="DG37" t="str">
        <f t="shared" si="90"/>
        <v>PURCHASE HEAD</v>
      </c>
      <c r="DH37" t="str">
        <f t="shared" si="91"/>
        <v>+91-9988776600</v>
      </c>
      <c r="DI37" t="str">
        <f t="shared" si="92"/>
        <v xml:space="preserve">  BAG world INDIA  </v>
      </c>
      <c r="DJ37" t="str">
        <f t="shared" si="93"/>
        <v>https:://www.bags.in</v>
      </c>
      <c r="DK37" t="str">
        <f t="shared" si="94"/>
        <v>951  Mumbai  Naka</v>
      </c>
      <c r="DL37" t="str">
        <f t="shared" si="95"/>
        <v>MADHURI.DESHMUKH</v>
      </c>
      <c r="DM37" t="str">
        <f t="shared" si="96"/>
        <v>madhuri.DESHMUKH@  BAG world INDIA  .com</v>
      </c>
      <c r="DN37" t="str">
        <f t="shared" si="97"/>
        <v>madhuri</v>
      </c>
      <c r="DO37" t="str">
        <f t="shared" si="98"/>
        <v>DESHMUKH</v>
      </c>
      <c r="DP37" t="str">
        <f t="shared" si="99"/>
        <v>DESHMUKH,madhuri</v>
      </c>
      <c r="DQ37" t="str">
        <f t="shared" si="100"/>
        <v>Name has16characters</v>
      </c>
      <c r="DR37" t="str">
        <f t="shared" si="101"/>
        <v>Check Domain</v>
      </c>
      <c r="DS37" t="str">
        <f t="shared" si="102"/>
        <v>+91-</v>
      </c>
      <c r="DT37" t="str">
        <f t="shared" si="103"/>
        <v>Cus036</v>
      </c>
      <c r="DU37" t="str">
        <f t="shared" si="104"/>
        <v>mdeshmukh</v>
      </c>
      <c r="DV37" t="str">
        <f t="shared" si="105"/>
        <v>prd036</v>
      </c>
      <c r="DW37" t="str">
        <f t="shared" si="106"/>
        <v>+91-9988776600</v>
      </c>
      <c r="DX37" t="str">
        <f t="shared" si="107"/>
        <v>2024</v>
      </c>
      <c r="DY37" t="str">
        <f t="shared" si="108"/>
        <v>m</v>
      </c>
      <c r="DZ37" t="str">
        <f t="shared" si="109"/>
        <v>madhuriDESHMUKH@  BAG world INDIA  .com</v>
      </c>
      <c r="EA37" t="str">
        <f t="shared" si="110"/>
        <v>Wholesale</v>
      </c>
      <c r="EB37" t="str">
        <f t="shared" si="111"/>
        <v>CORPORATE.IN</v>
      </c>
      <c r="EC37">
        <f t="shared" si="112"/>
        <v>27</v>
      </c>
      <c r="ED37" t="str">
        <f t="shared" si="113"/>
        <v>Na36</v>
      </c>
      <c r="EE37" t="str">
        <f t="shared" si="114"/>
        <v>Nashik- MAHARASHTRA(422001)</v>
      </c>
      <c r="EF37" t="str">
        <f t="shared" si="115"/>
        <v>919988776600</v>
      </c>
      <c r="EG37" t="str">
        <f t="shared" si="116"/>
        <v>CUST-036</v>
      </c>
      <c r="EH37" t="str">
        <f t="shared" si="117"/>
        <v>public</v>
      </c>
      <c r="EI37" t="str">
        <f t="shared" si="118"/>
        <v>PRD-036-22Sep24</v>
      </c>
      <c r="EJ37" t="str">
        <f t="shared" si="119"/>
        <v>Wholesale</v>
      </c>
    </row>
    <row r="38" spans="1:140" x14ac:dyDescent="0.3">
      <c r="A38" t="s">
        <v>486</v>
      </c>
      <c r="B38" t="s">
        <v>1490</v>
      </c>
      <c r="C38" t="s">
        <v>1491</v>
      </c>
      <c r="D38" t="s">
        <v>487</v>
      </c>
      <c r="E38" t="s">
        <v>488</v>
      </c>
      <c r="F38" t="s">
        <v>489</v>
      </c>
      <c r="G38" t="s">
        <v>490</v>
      </c>
      <c r="H38" t="s">
        <v>1639</v>
      </c>
      <c r="I38" t="s">
        <v>1640</v>
      </c>
      <c r="J38">
        <v>700016</v>
      </c>
      <c r="K38" t="str">
        <f t="shared" si="9"/>
        <v>kolkata, WEST BENGAL,700016</v>
      </c>
      <c r="L38" t="s">
        <v>491</v>
      </c>
      <c r="M38" t="s">
        <v>492</v>
      </c>
      <c r="N38" t="s">
        <v>493</v>
      </c>
      <c r="O38" t="s">
        <v>50</v>
      </c>
      <c r="P38" t="s">
        <v>494</v>
      </c>
      <c r="Q38" t="s">
        <v>495</v>
      </c>
      <c r="R38" t="s">
        <v>496</v>
      </c>
      <c r="S38" t="s">
        <v>497</v>
      </c>
      <c r="T38" t="s">
        <v>498</v>
      </c>
      <c r="U38" t="str">
        <f t="shared" si="120"/>
        <v>SUMIT GHOSH</v>
      </c>
      <c r="V38" t="str">
        <f t="shared" si="121"/>
        <v>sumit.ghosh@mail.in</v>
      </c>
      <c r="W38" t="str">
        <f t="shared" si="10"/>
        <v>Kolkata</v>
      </c>
      <c r="X38" t="str">
        <f t="shared" si="122"/>
        <v>sumit ghosh</v>
      </c>
      <c r="Y38" t="str">
        <f t="shared" si="11"/>
        <v>RETAIL</v>
      </c>
      <c r="Z38" t="str">
        <f t="shared" si="12"/>
        <v>sleeve store</v>
      </c>
      <c r="AA38" t="str">
        <f t="shared" si="13"/>
        <v>Retail Manager</v>
      </c>
      <c r="AB38" t="str">
        <f t="shared" si="123"/>
        <v>147 Park Street</v>
      </c>
      <c r="AC38" t="str">
        <f t="shared" si="14"/>
        <v>DEPT-RETAIL-037</v>
      </c>
      <c r="AD38" t="str">
        <f t="shared" si="15"/>
        <v>Hp Neoprene Laptop Sleeve</v>
      </c>
      <c r="AE38" t="str">
        <f t="shared" si="16"/>
        <v>www.sleeves.com</v>
      </c>
      <c r="AF38" t="str">
        <f t="shared" si="17"/>
        <v>Size confirmation needed</v>
      </c>
      <c r="AG38" t="str">
        <f t="shared" si="124"/>
        <v>CUST037</v>
      </c>
      <c r="AH38" t="str">
        <f t="shared" si="18"/>
        <v>PRD-SLEEVE-037</v>
      </c>
      <c r="AI38" t="str">
        <f t="shared" si="125"/>
        <v>Sumit Ghosh</v>
      </c>
      <c r="AJ38" t="str">
        <f t="shared" si="126"/>
        <v>(033) 2468-1357</v>
      </c>
      <c r="AK38" t="str">
        <f t="shared" si="19"/>
        <v>retail</v>
      </c>
      <c r="AL38" t="str">
        <f t="shared" si="20"/>
        <v>Sleeve Store</v>
      </c>
      <c r="AM38" t="str">
        <f t="shared" si="127"/>
        <v>sumit.ghosh@mail.in</v>
      </c>
      <c r="AN38" t="str">
        <f t="shared" si="21"/>
        <v>RETAIL MANAGER</v>
      </c>
      <c r="AO38" t="str">
        <f t="shared" si="128"/>
        <v>CUST037-sumit ghosh</v>
      </c>
      <c r="AP38" t="str">
        <f t="shared" si="22"/>
        <v>sumit ghosh</v>
      </c>
      <c r="AQ38" t="str">
        <f t="shared" si="23"/>
        <v>kolkata, WEST BENGAL</v>
      </c>
      <c r="AR38" t="str">
        <f t="shared" si="24"/>
        <v>prd-sleeve-037:hp NEOPRENE laptop sleeve</v>
      </c>
      <c r="AS38" t="str">
        <f t="shared" si="25"/>
        <v>sumit.ghosh@mail.in|(033) 2468-1357</v>
      </c>
      <c r="AT38" t="str">
        <f t="shared" si="26"/>
        <v>sleeve STORE-Retail Manager</v>
      </c>
      <c r="AU38" t="str">
        <f t="shared" si="27"/>
        <v>Retail 29-Sep-2024</v>
      </c>
      <c r="AV38" t="str">
        <f t="shared" si="28"/>
        <v>147 Park Street,kolkata, WEST BENGAL,700016</v>
      </c>
      <c r="AW38" t="str">
        <f t="shared" si="29"/>
        <v>dept-retail-037_Retail Manager</v>
      </c>
      <c r="AX38" t="str">
        <f t="shared" si="30"/>
        <v>Customer ID:CUST037</v>
      </c>
      <c r="AY38" t="str">
        <f t="shared" si="31"/>
        <v>Email:sumit.ghosh@mail.in</v>
      </c>
      <c r="AZ38" t="str">
        <f t="shared" si="32"/>
        <v>WWW.SLEEVES.COM/contact</v>
      </c>
      <c r="BA38" t="str">
        <f t="shared" si="33"/>
        <v>Order Placed On 29-Sep-2024</v>
      </c>
      <c r="BB38" t="str">
        <f t="shared" si="34"/>
        <v>sumit ghosh(Retail)</v>
      </c>
      <c r="BC38" t="str">
        <f t="shared" si="35"/>
        <v>prd-sleeve-037/hp NEOPRENE laptop sleeve</v>
      </c>
      <c r="BD38" t="str">
        <f t="shared" si="36"/>
        <v>call (033) 2468-1357</v>
      </c>
      <c r="BE38" t="str">
        <f t="shared" si="37"/>
        <v>sleeve STORE-dept-retail-037</v>
      </c>
      <c r="BF38" t="str">
        <f t="shared" si="38"/>
        <v>CUST037-37</v>
      </c>
      <c r="BG38" t="str">
        <f t="shared" si="39"/>
        <v>Customer: sumit ghosh,Type: Retail</v>
      </c>
      <c r="BH38" t="str">
        <f t="shared" si="40"/>
        <v>kolkata,india</v>
      </c>
      <c r="BI38" t="str">
        <f t="shared" si="41"/>
        <v>CUST</v>
      </c>
      <c r="BJ38" t="str">
        <f t="shared" si="42"/>
        <v>sumit.ghos</v>
      </c>
      <c r="BK38" t="str">
        <f t="shared" si="43"/>
        <v xml:space="preserve">sumit </v>
      </c>
      <c r="BL38" t="str">
        <f t="shared" si="44"/>
        <v>prd-s</v>
      </c>
      <c r="BM38" t="str">
        <f t="shared" si="45"/>
        <v>Ret</v>
      </c>
      <c r="BN38" t="str">
        <f t="shared" si="46"/>
        <v>(033) 24</v>
      </c>
      <c r="BO38" t="str">
        <f t="shared" si="47"/>
        <v>mail.in</v>
      </c>
      <c r="BP38" t="str">
        <f t="shared" si="48"/>
        <v>kolkata</v>
      </c>
      <c r="BQ38" t="str">
        <f t="shared" si="49"/>
        <v>T037</v>
      </c>
      <c r="BR38" t="str">
        <f t="shared" si="50"/>
        <v>ghosh</v>
      </c>
      <c r="BS38" t="str">
        <f t="shared" si="51"/>
        <v>ve-037</v>
      </c>
      <c r="BU38" t="str">
        <f t="shared" si="52"/>
        <v>-1357</v>
      </c>
      <c r="BV38" t="str">
        <f t="shared" si="53"/>
        <v>700016</v>
      </c>
      <c r="BW38" t="str">
        <f t="shared" si="54"/>
        <v xml:space="preserve"> WEST BENGAL</v>
      </c>
      <c r="BX38" t="str">
        <f t="shared" si="55"/>
        <v>037</v>
      </c>
      <c r="BY38" t="str">
        <f t="shared" si="56"/>
        <v>retail</v>
      </c>
      <c r="BZ38" t="str">
        <f t="shared" si="57"/>
        <v>sleeve</v>
      </c>
      <c r="CA38" t="str">
        <f t="shared" si="58"/>
        <v>Sep</v>
      </c>
      <c r="CB38" t="str">
        <f t="shared" si="59"/>
        <v xml:space="preserve">eeve </v>
      </c>
      <c r="CC38">
        <f t="shared" si="60"/>
        <v>12</v>
      </c>
      <c r="CD38">
        <f t="shared" si="61"/>
        <v>11</v>
      </c>
      <c r="CE38">
        <f t="shared" si="62"/>
        <v>19</v>
      </c>
      <c r="CF38">
        <f t="shared" si="63"/>
        <v>6</v>
      </c>
      <c r="CG38">
        <f t="shared" si="64"/>
        <v>25</v>
      </c>
      <c r="CH38">
        <f t="shared" si="65"/>
        <v>8</v>
      </c>
      <c r="CI38">
        <f t="shared" si="66"/>
        <v>7</v>
      </c>
      <c r="CJ38" t="str">
        <f t="shared" si="67"/>
        <v>Not found</v>
      </c>
      <c r="CK38">
        <f t="shared" si="68"/>
        <v>15</v>
      </c>
      <c r="CL38">
        <f t="shared" si="69"/>
        <v>4</v>
      </c>
      <c r="CM38">
        <f t="shared" si="70"/>
        <v>15</v>
      </c>
      <c r="CN38">
        <f t="shared" si="71"/>
        <v>6</v>
      </c>
      <c r="CO38">
        <f t="shared" si="72"/>
        <v>12</v>
      </c>
      <c r="CP38">
        <f t="shared" si="73"/>
        <v>11</v>
      </c>
      <c r="CQ38">
        <f t="shared" si="74"/>
        <v>15</v>
      </c>
      <c r="CR38" t="str">
        <f t="shared" si="75"/>
        <v>not found</v>
      </c>
      <c r="CS38">
        <f t="shared" si="76"/>
        <v>6</v>
      </c>
      <c r="CT38">
        <f t="shared" si="77"/>
        <v>11</v>
      </c>
      <c r="CU38">
        <f t="shared" si="78"/>
        <v>28</v>
      </c>
      <c r="CV38">
        <f t="shared" si="79"/>
        <v>3</v>
      </c>
      <c r="CW38" t="str">
        <f t="shared" si="80"/>
        <v>Customer ID037</v>
      </c>
      <c r="CX38" t="str">
        <f t="shared" si="81"/>
        <v>sumit.ghosh[AT]mail.in</v>
      </c>
      <c r="CY38" t="str">
        <f t="shared" si="82"/>
        <v>Product-SLEEVE-037</v>
      </c>
      <c r="CZ38" t="str">
        <f t="shared" si="83"/>
        <v>prd_sleeve_037</v>
      </c>
      <c r="DA38" t="str">
        <f t="shared" si="84"/>
        <v>DEPARTMENT-RETAIL-037</v>
      </c>
      <c r="DB38" t="str">
        <f t="shared" si="85"/>
        <v>SUMIT.GHOSH@MAIL.IN</v>
      </c>
      <c r="DC38" t="str">
        <f t="shared" si="86"/>
        <v>https://www..SLEEVES.COM</v>
      </c>
      <c r="DD38" t="str">
        <f t="shared" si="87"/>
        <v>sumit/ghosh</v>
      </c>
      <c r="DE38" t="str">
        <f t="shared" si="88"/>
        <v>Retail</v>
      </c>
      <c r="DF38" t="str">
        <f t="shared" si="89"/>
        <v>kolkata; WEST BENGAL;700016</v>
      </c>
      <c r="DG38" t="str">
        <f t="shared" si="90"/>
        <v>Retail Manager</v>
      </c>
      <c r="DH38" t="str">
        <f t="shared" si="91"/>
        <v xml:space="preserve"> 033  2468-1357</v>
      </c>
      <c r="DI38" t="str">
        <f t="shared" si="92"/>
        <v>sleeve STORE</v>
      </c>
      <c r="DJ38" t="str">
        <f t="shared" si="93"/>
        <v>WWW.SLEEVES.COM</v>
      </c>
      <c r="DK38" t="str">
        <f t="shared" si="94"/>
        <v>147  Park  Street</v>
      </c>
      <c r="DL38" t="str">
        <f t="shared" si="95"/>
        <v>sumit.ghosh</v>
      </c>
      <c r="DM38" t="str">
        <f t="shared" si="96"/>
        <v>sumit.ghosh@sleeve STORE.com</v>
      </c>
      <c r="DN38" t="str">
        <f t="shared" si="97"/>
        <v>sumit</v>
      </c>
      <c r="DO38" t="str">
        <f t="shared" si="98"/>
        <v>ghosh</v>
      </c>
      <c r="DP38" t="str">
        <f t="shared" si="99"/>
        <v>ghosh,sumit</v>
      </c>
      <c r="DQ38" t="str">
        <f t="shared" si="100"/>
        <v>Name has11characters</v>
      </c>
      <c r="DR38" t="str">
        <f t="shared" si="101"/>
        <v>Check Domain</v>
      </c>
      <c r="DS38" t="str">
        <f t="shared" si="102"/>
        <v>(033</v>
      </c>
      <c r="DT38" t="str">
        <f t="shared" si="103"/>
        <v>CUS037</v>
      </c>
      <c r="DU38" t="str">
        <f t="shared" si="104"/>
        <v>sghosh</v>
      </c>
      <c r="DV38" t="str">
        <f t="shared" si="105"/>
        <v>prd037</v>
      </c>
      <c r="DW38" t="str">
        <f t="shared" si="106"/>
        <v>(033) 2468-1357</v>
      </c>
      <c r="DX38" t="str">
        <f t="shared" si="107"/>
        <v>2024</v>
      </c>
      <c r="DY38" t="str">
        <f t="shared" si="108"/>
        <v>s</v>
      </c>
      <c r="DZ38" t="str">
        <f t="shared" si="109"/>
        <v>sumitghosh@sleeve STORE.com</v>
      </c>
      <c r="EA38" t="str">
        <f t="shared" si="110"/>
        <v>Retail</v>
      </c>
      <c r="EB38" t="str">
        <f t="shared" si="111"/>
        <v>mail.in</v>
      </c>
      <c r="EC38">
        <f t="shared" si="112"/>
        <v>25</v>
      </c>
      <c r="ED38" t="str">
        <f t="shared" si="113"/>
        <v>ko37</v>
      </c>
      <c r="EE38" t="str">
        <f t="shared" si="114"/>
        <v>kolkata- WEST BENGAL(700016)</v>
      </c>
      <c r="EF38" t="str">
        <f t="shared" si="115"/>
        <v>03324681357</v>
      </c>
      <c r="EG38" t="str">
        <f t="shared" si="116"/>
        <v>CUST-037</v>
      </c>
      <c r="EH38" t="str">
        <f t="shared" si="117"/>
        <v>public</v>
      </c>
      <c r="EI38" t="str">
        <f t="shared" si="118"/>
        <v>PRD-037-29Sep24</v>
      </c>
      <c r="EJ38" t="str">
        <f t="shared" si="119"/>
        <v>Retail</v>
      </c>
    </row>
    <row r="39" spans="1:140" x14ac:dyDescent="0.3">
      <c r="A39" t="s">
        <v>499</v>
      </c>
      <c r="B39" t="s">
        <v>1492</v>
      </c>
      <c r="C39" t="s">
        <v>1440</v>
      </c>
      <c r="D39" t="s">
        <v>500</v>
      </c>
      <c r="E39" t="s">
        <v>501</v>
      </c>
      <c r="F39" t="s">
        <v>502</v>
      </c>
      <c r="G39" t="s">
        <v>503</v>
      </c>
      <c r="H39" t="s">
        <v>1641</v>
      </c>
      <c r="I39" t="s">
        <v>1604</v>
      </c>
      <c r="J39">
        <v>695004</v>
      </c>
      <c r="K39" t="str">
        <f t="shared" si="9"/>
        <v>TRIVANDRUM, Kerala,695004</v>
      </c>
      <c r="L39" t="s">
        <v>504</v>
      </c>
      <c r="M39" t="s">
        <v>505</v>
      </c>
      <c r="N39" t="s">
        <v>506</v>
      </c>
      <c r="O39" t="s">
        <v>78</v>
      </c>
      <c r="P39" t="s">
        <v>507</v>
      </c>
      <c r="Q39" t="s">
        <v>508</v>
      </c>
      <c r="R39" t="s">
        <v>509</v>
      </c>
      <c r="S39" t="s">
        <v>510</v>
      </c>
      <c r="T39" t="s">
        <v>511</v>
      </c>
      <c r="U39" t="str">
        <f t="shared" si="120"/>
        <v xml:space="preserve">  GEETA NAIR</v>
      </c>
      <c r="V39" t="str">
        <f t="shared" si="121"/>
        <v>geeta_nair@email.com</v>
      </c>
      <c r="W39" t="str">
        <f t="shared" si="10"/>
        <v>Trivandrum</v>
      </c>
      <c r="X39" t="str">
        <f t="shared" si="122"/>
        <v>GEETA nair</v>
      </c>
      <c r="Y39" t="str">
        <f t="shared" si="11"/>
        <v>RETAIL</v>
      </c>
      <c r="Z39" t="str">
        <f t="shared" si="12"/>
        <v>stand solutions india</v>
      </c>
      <c r="AA39" t="str">
        <f t="shared" si="13"/>
        <v>Office Manager</v>
      </c>
      <c r="AB39" t="str">
        <f t="shared" si="123"/>
        <v>258 Kesavadasapuram</v>
      </c>
      <c r="AC39" t="str">
        <f t="shared" si="14"/>
        <v>DEPT-OFFICE-038</v>
      </c>
      <c r="AD39" t="str">
        <f t="shared" si="15"/>
        <v>Amazon Basics Laptop Stand</v>
      </c>
      <c r="AE39" t="str">
        <f t="shared" si="16"/>
        <v>www.stands.in</v>
      </c>
      <c r="AF39" t="str">
        <f t="shared" si="17"/>
        <v>Adjustable height needed</v>
      </c>
      <c r="AG39" t="str">
        <f t="shared" si="124"/>
        <v>CUST038</v>
      </c>
      <c r="AH39" t="str">
        <f t="shared" si="18"/>
        <v>PRD-STAND-038</v>
      </c>
      <c r="AI39" t="str">
        <f t="shared" si="125"/>
        <v xml:space="preserve">  Geeta Nair</v>
      </c>
      <c r="AJ39" t="str">
        <f t="shared" si="126"/>
        <v>0471-3698521</v>
      </c>
      <c r="AK39" t="str">
        <f t="shared" si="19"/>
        <v>retail</v>
      </c>
      <c r="AL39" t="str">
        <f t="shared" si="20"/>
        <v>Stand Solutions India</v>
      </c>
      <c r="AM39" t="str">
        <f t="shared" si="127"/>
        <v>geeta_nair@email.com</v>
      </c>
      <c r="AN39" t="str">
        <f t="shared" si="21"/>
        <v>OFFICE MANAGER</v>
      </c>
      <c r="AO39" t="str">
        <f t="shared" si="128"/>
        <v>cust038-  GEETA nair</v>
      </c>
      <c r="AP39" t="str">
        <f t="shared" si="22"/>
        <v>GEETA nair</v>
      </c>
      <c r="AQ39" t="str">
        <f t="shared" si="23"/>
        <v>TRIVANDRUM, Kerala</v>
      </c>
      <c r="AR39" t="str">
        <f t="shared" si="24"/>
        <v>PRD-STAND-038:AMAZON basics laptop STAND</v>
      </c>
      <c r="AS39" t="str">
        <f t="shared" si="25"/>
        <v>geeta_nair@email.com|0471-3698521</v>
      </c>
      <c r="AT39" t="str">
        <f t="shared" si="26"/>
        <v>STAND solutions india-office manager</v>
      </c>
      <c r="AU39" t="str">
        <f t="shared" si="27"/>
        <v>retail 06-Oct-2024</v>
      </c>
      <c r="AV39" t="str">
        <f t="shared" si="28"/>
        <v xml:space="preserve">  258 Kesavadasapuram  ,TRIVANDRUM, Kerala,695004</v>
      </c>
      <c r="AW39" t="str">
        <f t="shared" si="29"/>
        <v>DEPT-OFFICE-038_office manager</v>
      </c>
      <c r="AX39" t="str">
        <f t="shared" si="30"/>
        <v>Customer ID:cust038</v>
      </c>
      <c r="AY39" t="str">
        <f t="shared" si="31"/>
        <v>Email:geeta_nair@email.com</v>
      </c>
      <c r="AZ39" t="str">
        <f t="shared" si="32"/>
        <v>www.stands.in/contact</v>
      </c>
      <c r="BA39" t="str">
        <f t="shared" si="33"/>
        <v>Order Placed On 06-Oct-2024</v>
      </c>
      <c r="BB39" t="str">
        <f t="shared" si="34"/>
        <v xml:space="preserve">  GEETA nair(retail)</v>
      </c>
      <c r="BC39" t="str">
        <f t="shared" si="35"/>
        <v>PRD-STAND-038/AMAZON basics laptop STAND</v>
      </c>
      <c r="BD39" t="str">
        <f t="shared" si="36"/>
        <v>call 0471-3698521</v>
      </c>
      <c r="BE39" t="str">
        <f t="shared" si="37"/>
        <v>STAND solutions india-DEPT-OFFICE-038</v>
      </c>
      <c r="BF39" t="str">
        <f t="shared" si="38"/>
        <v>cust038-38</v>
      </c>
      <c r="BG39" t="str">
        <f t="shared" si="39"/>
        <v>Customer:   GEETA nair,Type: retail</v>
      </c>
      <c r="BH39" t="str">
        <f t="shared" si="40"/>
        <v>TRIVANDRUM,india</v>
      </c>
      <c r="BI39" t="str">
        <f t="shared" si="41"/>
        <v>cust</v>
      </c>
      <c r="BJ39" t="str">
        <f t="shared" si="42"/>
        <v>geeta_nair</v>
      </c>
      <c r="BK39" t="str">
        <f t="shared" si="43"/>
        <v xml:space="preserve">GEETA </v>
      </c>
      <c r="BL39" t="str">
        <f t="shared" si="44"/>
        <v>PRD-S</v>
      </c>
      <c r="BM39" t="str">
        <f t="shared" si="45"/>
        <v>ret</v>
      </c>
      <c r="BN39" t="str">
        <f t="shared" si="46"/>
        <v>0471-369</v>
      </c>
      <c r="BO39" t="str">
        <f t="shared" si="47"/>
        <v>email.com</v>
      </c>
      <c r="BP39" t="str">
        <f t="shared" si="48"/>
        <v>TRIVANDRUM</v>
      </c>
      <c r="BQ39" t="str">
        <f t="shared" si="49"/>
        <v>t038</v>
      </c>
      <c r="BR39" t="str">
        <f t="shared" si="50"/>
        <v xml:space="preserve"> nair</v>
      </c>
      <c r="BS39" t="str">
        <f t="shared" si="51"/>
        <v>ND-038</v>
      </c>
      <c r="BU39" t="str">
        <f t="shared" si="52"/>
        <v>98521</v>
      </c>
      <c r="BV39" t="str">
        <f t="shared" si="53"/>
        <v>695004</v>
      </c>
      <c r="BW39" t="str">
        <f t="shared" si="54"/>
        <v xml:space="preserve"> Kerala</v>
      </c>
      <c r="BX39" t="str">
        <f t="shared" si="55"/>
        <v>038</v>
      </c>
      <c r="BY39" t="str">
        <f t="shared" si="56"/>
        <v>OFFICE</v>
      </c>
      <c r="BZ39" t="str">
        <f t="shared" si="57"/>
        <v>STAND</v>
      </c>
      <c r="CA39" t="str">
        <f t="shared" si="58"/>
        <v>Oct</v>
      </c>
      <c r="CB39" t="str">
        <f t="shared" si="59"/>
        <v>AND s</v>
      </c>
      <c r="CC39">
        <f t="shared" si="60"/>
        <v>11</v>
      </c>
      <c r="CD39">
        <f t="shared" si="61"/>
        <v>12</v>
      </c>
      <c r="CE39">
        <f t="shared" si="62"/>
        <v>20</v>
      </c>
      <c r="CF39">
        <f t="shared" si="63"/>
        <v>1</v>
      </c>
      <c r="CG39">
        <f t="shared" si="64"/>
        <v>26</v>
      </c>
      <c r="CH39">
        <f t="shared" si="65"/>
        <v>11</v>
      </c>
      <c r="CI39">
        <f t="shared" si="66"/>
        <v>7</v>
      </c>
      <c r="CJ39">
        <f t="shared" si="67"/>
        <v>1</v>
      </c>
      <c r="CK39">
        <f t="shared" si="68"/>
        <v>12</v>
      </c>
      <c r="CL39">
        <f t="shared" si="69"/>
        <v>4</v>
      </c>
      <c r="CM39">
        <f t="shared" si="70"/>
        <v>23</v>
      </c>
      <c r="CN39">
        <f t="shared" si="71"/>
        <v>17</v>
      </c>
      <c r="CO39">
        <f t="shared" si="72"/>
        <v>21</v>
      </c>
      <c r="CP39">
        <f t="shared" si="73"/>
        <v>10</v>
      </c>
      <c r="CQ39">
        <f t="shared" si="74"/>
        <v>15</v>
      </c>
      <c r="CR39" t="str">
        <f t="shared" si="75"/>
        <v>not found</v>
      </c>
      <c r="CS39">
        <f t="shared" si="76"/>
        <v>6</v>
      </c>
      <c r="CT39">
        <f t="shared" si="77"/>
        <v>10</v>
      </c>
      <c r="CU39">
        <f t="shared" si="78"/>
        <v>24</v>
      </c>
      <c r="CV39">
        <f t="shared" si="79"/>
        <v>3</v>
      </c>
      <c r="CW39" t="str">
        <f t="shared" si="80"/>
        <v>Customer ID038</v>
      </c>
      <c r="CX39" t="str">
        <f t="shared" si="81"/>
        <v>geeta_nair[AT]email.com</v>
      </c>
      <c r="CY39" t="str">
        <f t="shared" si="82"/>
        <v>Product-STAND-038</v>
      </c>
      <c r="CZ39" t="str">
        <f t="shared" si="83"/>
        <v>PRD_STAND_038</v>
      </c>
      <c r="DA39" t="str">
        <f t="shared" si="84"/>
        <v>DEPARTMENT-OFFICE-038</v>
      </c>
      <c r="DB39" t="str">
        <f t="shared" si="85"/>
        <v>GEETA_NAIR@EMAIL.in</v>
      </c>
      <c r="DC39" t="str">
        <f t="shared" si="86"/>
        <v>https://www..STANDS.IN</v>
      </c>
      <c r="DD39" t="str">
        <f t="shared" si="87"/>
        <v>//GEETA/nair</v>
      </c>
      <c r="DE39" t="str">
        <f t="shared" si="88"/>
        <v>RETAIL CUSTOMER</v>
      </c>
      <c r="DF39" t="str">
        <f t="shared" si="89"/>
        <v>TRIVANDRUM; Kerala;695004</v>
      </c>
      <c r="DG39" t="str">
        <f t="shared" si="90"/>
        <v>office MANAGER</v>
      </c>
      <c r="DH39" t="str">
        <f t="shared" si="91"/>
        <v>0471-3698521</v>
      </c>
      <c r="DI39" t="str">
        <f t="shared" si="92"/>
        <v>STAND solutions india</v>
      </c>
      <c r="DJ39" t="str">
        <f t="shared" si="93"/>
        <v>www.stands.in</v>
      </c>
      <c r="DK39" t="str">
        <f t="shared" si="94"/>
        <v xml:space="preserve">    258  Kesavadasapuram    </v>
      </c>
      <c r="DL39" t="str">
        <f t="shared" si="95"/>
        <v>geeta_nair</v>
      </c>
      <c r="DM39" t="str">
        <f t="shared" si="96"/>
        <v>GEETA.nair@STAND solutions india.com</v>
      </c>
      <c r="DN39" t="str">
        <f t="shared" si="97"/>
        <v>GEETA</v>
      </c>
      <c r="DO39" t="str">
        <f t="shared" si="98"/>
        <v>nair</v>
      </c>
      <c r="DP39" t="str">
        <f t="shared" si="99"/>
        <v>nair,GEETA</v>
      </c>
      <c r="DQ39" t="str">
        <f t="shared" si="100"/>
        <v>Name has10characters</v>
      </c>
      <c r="DR39" t="str">
        <f t="shared" si="101"/>
        <v>Valid</v>
      </c>
      <c r="DS39" t="str">
        <f t="shared" si="102"/>
        <v>0471</v>
      </c>
      <c r="DT39" t="str">
        <f t="shared" si="103"/>
        <v>cus038</v>
      </c>
      <c r="DU39" t="str">
        <f t="shared" si="104"/>
        <v>Gnair</v>
      </c>
      <c r="DV39" t="str">
        <f t="shared" si="105"/>
        <v>PRD038</v>
      </c>
      <c r="DW39" t="str">
        <f t="shared" si="106"/>
        <v>0471-3698521</v>
      </c>
      <c r="DX39" t="str">
        <f t="shared" si="107"/>
        <v>2024</v>
      </c>
      <c r="DY39" t="str">
        <f t="shared" si="108"/>
        <v>G</v>
      </c>
      <c r="DZ39" t="str">
        <f t="shared" si="109"/>
        <v>GEETAnair@STAND solutions india.com</v>
      </c>
      <c r="EA39" t="str">
        <f t="shared" si="110"/>
        <v>Retail</v>
      </c>
      <c r="EB39" t="str">
        <f t="shared" si="111"/>
        <v>email.com</v>
      </c>
      <c r="EC39">
        <f t="shared" si="112"/>
        <v>26</v>
      </c>
      <c r="ED39" t="str">
        <f t="shared" si="113"/>
        <v>TR38</v>
      </c>
      <c r="EE39" t="str">
        <f t="shared" si="114"/>
        <v>TRIVANDRUM- Kerala(695004)</v>
      </c>
      <c r="EF39" t="str">
        <f t="shared" si="115"/>
        <v>04713698521</v>
      </c>
      <c r="EG39" t="str">
        <f t="shared" si="116"/>
        <v>CUST-038</v>
      </c>
      <c r="EH39" t="str">
        <f t="shared" si="117"/>
        <v>public</v>
      </c>
      <c r="EI39" t="str">
        <f t="shared" si="118"/>
        <v>PRD-038-06Oct24</v>
      </c>
      <c r="EJ39" t="str">
        <f t="shared" si="119"/>
        <v>Retail</v>
      </c>
    </row>
    <row r="40" spans="1:140" x14ac:dyDescent="0.3">
      <c r="A40" t="s">
        <v>512</v>
      </c>
      <c r="B40" t="s">
        <v>1493</v>
      </c>
      <c r="C40" t="s">
        <v>1424</v>
      </c>
      <c r="D40" t="s">
        <v>513</v>
      </c>
      <c r="E40" t="s">
        <v>514</v>
      </c>
      <c r="F40" t="s">
        <v>515</v>
      </c>
      <c r="G40" t="s">
        <v>516</v>
      </c>
      <c r="H40" t="s">
        <v>1642</v>
      </c>
      <c r="I40" t="s">
        <v>1629</v>
      </c>
      <c r="J40">
        <v>360001</v>
      </c>
      <c r="K40" t="str">
        <f t="shared" si="9"/>
        <v>Rajkot, GUJARAT,360001</v>
      </c>
      <c r="L40" t="s">
        <v>517</v>
      </c>
      <c r="M40" t="s">
        <v>518</v>
      </c>
      <c r="N40" t="s">
        <v>519</v>
      </c>
      <c r="O40" t="s">
        <v>92</v>
      </c>
      <c r="P40" t="s">
        <v>520</v>
      </c>
      <c r="Q40" t="s">
        <v>521</v>
      </c>
      <c r="R40" t="s">
        <v>522</v>
      </c>
      <c r="S40" t="s">
        <v>523</v>
      </c>
      <c r="T40" t="s">
        <v>524</v>
      </c>
      <c r="U40" t="str">
        <f t="shared" si="120"/>
        <v xml:space="preserve">RAMESH PATEL  </v>
      </c>
      <c r="V40" t="str">
        <f t="shared" si="121"/>
        <v>ramesh.patel@company.com</v>
      </c>
      <c r="W40" t="str">
        <f t="shared" si="10"/>
        <v>Rajkot</v>
      </c>
      <c r="X40" t="str">
        <f t="shared" si="122"/>
        <v>ramesh PATEL</v>
      </c>
      <c r="Y40" t="str">
        <f t="shared" si="11"/>
        <v>WHOLESALE</v>
      </c>
      <c r="Z40" t="str">
        <f t="shared" si="12"/>
        <v xml:space="preserve">  gaming accessories pro  </v>
      </c>
      <c r="AA40" t="str">
        <f t="shared" si="13"/>
        <v>Gaming Head</v>
      </c>
      <c r="AB40" t="str">
        <f t="shared" si="123"/>
        <v>369 Kalupur</v>
      </c>
      <c r="AC40" t="str">
        <f t="shared" si="14"/>
        <v>DEPT-GAM-039</v>
      </c>
      <c r="AD40" t="str">
        <f t="shared" si="15"/>
        <v>Corsair Gaming Mouse Pad</v>
      </c>
      <c r="AE40" t="str">
        <f t="shared" si="16"/>
        <v>https://gaming.in</v>
      </c>
      <c r="AF40" t="str">
        <f t="shared" si="17"/>
        <v>Size: Extended</v>
      </c>
      <c r="AG40" t="str">
        <f t="shared" si="124"/>
        <v>CUST039</v>
      </c>
      <c r="AH40" t="str">
        <f t="shared" si="18"/>
        <v>PRD-PAD-039</v>
      </c>
      <c r="AI40" t="str">
        <f t="shared" si="125"/>
        <v xml:space="preserve">Ramesh Patel  </v>
      </c>
      <c r="AJ40" t="str">
        <f t="shared" si="126"/>
        <v>+91-9876123450</v>
      </c>
      <c r="AK40" t="str">
        <f t="shared" si="19"/>
        <v>wholesale</v>
      </c>
      <c r="AL40" t="str">
        <f t="shared" si="20"/>
        <v>Gaming Accessories Pro</v>
      </c>
      <c r="AM40" t="str">
        <f t="shared" si="127"/>
        <v>ramesh.patel@company.com</v>
      </c>
      <c r="AN40" t="str">
        <f t="shared" si="21"/>
        <v>GAMING HEAD</v>
      </c>
      <c r="AO40" t="str">
        <f t="shared" si="128"/>
        <v xml:space="preserve">Cust039-ramesh PATEL  </v>
      </c>
      <c r="AP40" t="str">
        <f t="shared" si="22"/>
        <v>ramesh PATEL</v>
      </c>
      <c r="AQ40" t="str">
        <f t="shared" si="23"/>
        <v>Rajkot, GUJARAT</v>
      </c>
      <c r="AR40" t="str">
        <f t="shared" si="24"/>
        <v>prd-pad-039:CORSAIR gaming mouse PAD</v>
      </c>
      <c r="AS40" t="str">
        <f t="shared" si="25"/>
        <v>RAMESH.PATEL@COMPANY.COM|+91-9876123450</v>
      </c>
      <c r="AT40" t="str">
        <f t="shared" si="26"/>
        <v xml:space="preserve">  GAMING accessories PRO  -GAMING HEAD</v>
      </c>
      <c r="AU40" t="str">
        <f t="shared" si="27"/>
        <v>WholeSale 13-Oct-2024</v>
      </c>
      <c r="AV40" t="str">
        <f t="shared" si="28"/>
        <v>369 Kalupur,Rajkot, GUJARAT,360001</v>
      </c>
      <c r="AW40" t="str">
        <f t="shared" si="29"/>
        <v>dept-gam-039_GAMING HEAD</v>
      </c>
      <c r="AX40" t="str">
        <f t="shared" si="30"/>
        <v>Customer ID:Cust039</v>
      </c>
      <c r="AY40" t="str">
        <f t="shared" si="31"/>
        <v>Email:RAMESH.PATEL@COMPANY.COM</v>
      </c>
      <c r="AZ40" t="str">
        <f t="shared" si="32"/>
        <v>https://gaming.in/contact</v>
      </c>
      <c r="BA40" t="str">
        <f t="shared" si="33"/>
        <v>Order Placed On 13-Oct-2024</v>
      </c>
      <c r="BB40" t="str">
        <f t="shared" si="34"/>
        <v>ramesh PATEL  (WholeSale)</v>
      </c>
      <c r="BC40" t="str">
        <f t="shared" si="35"/>
        <v>prd-pad-039/CORSAIR gaming mouse PAD</v>
      </c>
      <c r="BD40" t="str">
        <f t="shared" si="36"/>
        <v>call +91-9876123450</v>
      </c>
      <c r="BE40" t="str">
        <f t="shared" si="37"/>
        <v xml:space="preserve">  GAMING accessories PRO  -dept-gam-039</v>
      </c>
      <c r="BF40" t="str">
        <f t="shared" si="38"/>
        <v>Cust039-39</v>
      </c>
      <c r="BG40" t="str">
        <f t="shared" si="39"/>
        <v>Customer: ramesh PATEL  ,Type: WholeSale</v>
      </c>
      <c r="BH40" t="str">
        <f t="shared" si="40"/>
        <v>Rajkot,india</v>
      </c>
      <c r="BI40" t="str">
        <f t="shared" si="41"/>
        <v>Cust</v>
      </c>
      <c r="BJ40" t="str">
        <f t="shared" si="42"/>
        <v>RAMESH.PAT</v>
      </c>
      <c r="BK40" t="str">
        <f t="shared" si="43"/>
        <v xml:space="preserve">ramesh </v>
      </c>
      <c r="BL40" t="str">
        <f t="shared" si="44"/>
        <v>prd-p</v>
      </c>
      <c r="BM40" t="str">
        <f t="shared" si="45"/>
        <v>Who</v>
      </c>
      <c r="BN40" t="str">
        <f t="shared" si="46"/>
        <v>+91-9876</v>
      </c>
      <c r="BO40" t="str">
        <f t="shared" si="47"/>
        <v>COMPANY.COM</v>
      </c>
      <c r="BP40" t="str">
        <f t="shared" si="48"/>
        <v>Rajkot</v>
      </c>
      <c r="BQ40" t="str">
        <f t="shared" si="49"/>
        <v>t039</v>
      </c>
      <c r="BR40" t="str">
        <f t="shared" si="50"/>
        <v xml:space="preserve"> PATEL</v>
      </c>
      <c r="BS40" t="str">
        <f t="shared" si="51"/>
        <v>ad-039</v>
      </c>
      <c r="BU40" t="str">
        <f t="shared" si="52"/>
        <v>23450</v>
      </c>
      <c r="BV40" t="str">
        <f t="shared" si="53"/>
        <v>360001</v>
      </c>
      <c r="BW40" t="str">
        <f t="shared" si="54"/>
        <v xml:space="preserve"> GUJARAT</v>
      </c>
      <c r="BX40" t="str">
        <f t="shared" si="55"/>
        <v>039</v>
      </c>
      <c r="BY40" t="str">
        <f t="shared" si="56"/>
        <v>gam</v>
      </c>
      <c r="BZ40" t="str">
        <f t="shared" si="57"/>
        <v>pad</v>
      </c>
      <c r="CA40" t="str">
        <f t="shared" si="58"/>
        <v>Oct</v>
      </c>
      <c r="CB40" t="str">
        <f t="shared" si="59"/>
        <v>GAMIN</v>
      </c>
      <c r="CC40">
        <f t="shared" si="60"/>
        <v>13</v>
      </c>
      <c r="CD40">
        <f t="shared" si="61"/>
        <v>14</v>
      </c>
      <c r="CE40">
        <f t="shared" si="62"/>
        <v>24</v>
      </c>
      <c r="CF40">
        <f t="shared" si="63"/>
        <v>7</v>
      </c>
      <c r="CG40">
        <f t="shared" si="64"/>
        <v>24</v>
      </c>
      <c r="CH40">
        <f t="shared" si="65"/>
        <v>7</v>
      </c>
      <c r="CI40">
        <f t="shared" si="66"/>
        <v>7</v>
      </c>
      <c r="CJ40" t="str">
        <f t="shared" si="67"/>
        <v>Not found</v>
      </c>
      <c r="CK40">
        <f t="shared" si="68"/>
        <v>14</v>
      </c>
      <c r="CL40">
        <f t="shared" si="69"/>
        <v>4</v>
      </c>
      <c r="CM40">
        <f t="shared" si="70"/>
        <v>11</v>
      </c>
      <c r="CN40">
        <f t="shared" si="71"/>
        <v>7</v>
      </c>
      <c r="CO40">
        <f t="shared" si="72"/>
        <v>22</v>
      </c>
      <c r="CP40">
        <f t="shared" si="73"/>
        <v>8</v>
      </c>
      <c r="CQ40">
        <f t="shared" si="74"/>
        <v>12</v>
      </c>
      <c r="CR40">
        <f t="shared" si="75"/>
        <v>7</v>
      </c>
      <c r="CS40">
        <f t="shared" si="76"/>
        <v>9</v>
      </c>
      <c r="CT40">
        <f t="shared" si="77"/>
        <v>8</v>
      </c>
      <c r="CU40">
        <f t="shared" si="78"/>
        <v>14</v>
      </c>
      <c r="CV40">
        <f t="shared" si="79"/>
        <v>3</v>
      </c>
      <c r="CW40" t="str">
        <f t="shared" si="80"/>
        <v>Customer ID039</v>
      </c>
      <c r="CX40" t="str">
        <f t="shared" si="81"/>
        <v>RAMESH.PATEL[AT]COMPANY.COM</v>
      </c>
      <c r="CY40" t="str">
        <f t="shared" si="82"/>
        <v>Product-PAD-039</v>
      </c>
      <c r="CZ40" t="str">
        <f t="shared" si="83"/>
        <v>prd_pad_039</v>
      </c>
      <c r="DA40" t="str">
        <f t="shared" si="84"/>
        <v>DEPARTMENT-GAM-039</v>
      </c>
      <c r="DB40" t="str">
        <f t="shared" si="85"/>
        <v>RAMESH.PATEL@COMPANY.in</v>
      </c>
      <c r="DC40" t="str">
        <f t="shared" si="86"/>
        <v>HTTPS://GAMING.IN</v>
      </c>
      <c r="DD40" t="str">
        <f t="shared" si="87"/>
        <v>ramesh/PATEL//</v>
      </c>
      <c r="DE40" t="str">
        <f t="shared" si="88"/>
        <v>WholeSale</v>
      </c>
      <c r="DF40" t="str">
        <f t="shared" si="89"/>
        <v>Rajkot; GUJARAT;360001</v>
      </c>
      <c r="DG40" t="str">
        <f t="shared" si="90"/>
        <v>GAMING HEAD</v>
      </c>
      <c r="DH40" t="str">
        <f t="shared" si="91"/>
        <v>+91-9876123450</v>
      </c>
      <c r="DI40" t="str">
        <f t="shared" si="92"/>
        <v xml:space="preserve">  GAMING accessories PRO  </v>
      </c>
      <c r="DJ40" t="str">
        <f t="shared" si="93"/>
        <v>https:://gaming.in</v>
      </c>
      <c r="DK40" t="str">
        <f t="shared" si="94"/>
        <v>369  Kalupur</v>
      </c>
      <c r="DL40" t="str">
        <f t="shared" si="95"/>
        <v>RAMESH.PATEL</v>
      </c>
      <c r="DM40" t="str">
        <f t="shared" si="96"/>
        <v>ramesh.PATEL@  GAMING accessories PRO  .com</v>
      </c>
      <c r="DN40" t="str">
        <f t="shared" si="97"/>
        <v>ramesh</v>
      </c>
      <c r="DO40" t="str">
        <f t="shared" si="98"/>
        <v>PATEL</v>
      </c>
      <c r="DP40" t="str">
        <f t="shared" si="99"/>
        <v>PATEL,ramesh</v>
      </c>
      <c r="DQ40" t="str">
        <f t="shared" si="100"/>
        <v>Name has12characters</v>
      </c>
      <c r="DR40" t="str">
        <f t="shared" si="101"/>
        <v>Valid</v>
      </c>
      <c r="DS40" t="str">
        <f t="shared" si="102"/>
        <v>+91-</v>
      </c>
      <c r="DT40" t="str">
        <f t="shared" si="103"/>
        <v>Cus039</v>
      </c>
      <c r="DU40" t="str">
        <f t="shared" si="104"/>
        <v>rpatel</v>
      </c>
      <c r="DV40" t="str">
        <f t="shared" si="105"/>
        <v>prd039</v>
      </c>
      <c r="DW40" t="str">
        <f t="shared" si="106"/>
        <v>+91-9876123450</v>
      </c>
      <c r="DX40" t="str">
        <f t="shared" si="107"/>
        <v>2024</v>
      </c>
      <c r="DY40" t="str">
        <f t="shared" si="108"/>
        <v>r</v>
      </c>
      <c r="DZ40" t="str">
        <f t="shared" si="109"/>
        <v>rameshPATEL@  GAMING accessories PRO  .com</v>
      </c>
      <c r="EA40" t="str">
        <f t="shared" si="110"/>
        <v>Wholesale</v>
      </c>
      <c r="EB40" t="str">
        <f t="shared" si="111"/>
        <v>COMPANY.COM</v>
      </c>
      <c r="EC40">
        <f t="shared" si="112"/>
        <v>24</v>
      </c>
      <c r="ED40" t="str">
        <f t="shared" si="113"/>
        <v>Ra39</v>
      </c>
      <c r="EE40" t="str">
        <f t="shared" si="114"/>
        <v>Rajkot- GUJARAT(360001)</v>
      </c>
      <c r="EF40" t="str">
        <f t="shared" si="115"/>
        <v>919876123450</v>
      </c>
      <c r="EG40" t="str">
        <f t="shared" si="116"/>
        <v>CUST-039</v>
      </c>
      <c r="EH40" t="str">
        <f t="shared" si="117"/>
        <v>public</v>
      </c>
      <c r="EI40" t="str">
        <f t="shared" si="118"/>
        <v>PRD-039-13Oct24</v>
      </c>
      <c r="EJ40" t="str">
        <f t="shared" si="119"/>
        <v>Wholesale</v>
      </c>
    </row>
    <row r="41" spans="1:140" x14ac:dyDescent="0.3">
      <c r="A41" t="s">
        <v>525</v>
      </c>
      <c r="B41" t="s">
        <v>1494</v>
      </c>
      <c r="C41" t="s">
        <v>1428</v>
      </c>
      <c r="D41" t="s">
        <v>526</v>
      </c>
      <c r="E41" t="s">
        <v>527</v>
      </c>
      <c r="F41" t="s">
        <v>528</v>
      </c>
      <c r="G41" t="s">
        <v>529</v>
      </c>
      <c r="H41" t="s">
        <v>1643</v>
      </c>
      <c r="I41" t="s">
        <v>1635</v>
      </c>
      <c r="J41">
        <v>250001</v>
      </c>
      <c r="K41" t="str">
        <f t="shared" si="9"/>
        <v>meerut, UTTAR PRADESH,250001</v>
      </c>
      <c r="L41" t="s">
        <v>530</v>
      </c>
      <c r="M41" t="s">
        <v>531</v>
      </c>
      <c r="N41" t="s">
        <v>532</v>
      </c>
      <c r="O41" t="s">
        <v>78</v>
      </c>
      <c r="P41" t="s">
        <v>533</v>
      </c>
      <c r="Q41" t="s">
        <v>534</v>
      </c>
      <c r="R41" t="s">
        <v>535</v>
      </c>
      <c r="S41" t="s">
        <v>536</v>
      </c>
      <c r="T41" t="s">
        <v>537</v>
      </c>
      <c r="U41" t="str">
        <f t="shared" si="120"/>
        <v>SUNITA VERMA</v>
      </c>
      <c r="V41" t="str">
        <f t="shared" si="121"/>
        <v>sunita.verma@mail.in</v>
      </c>
      <c r="W41" t="str">
        <f t="shared" si="10"/>
        <v>Meerut</v>
      </c>
      <c r="X41" t="str">
        <f t="shared" si="122"/>
        <v>sunita verma</v>
      </c>
      <c r="Y41" t="str">
        <f t="shared" si="11"/>
        <v>RETAIL</v>
      </c>
      <c r="Z41" t="str">
        <f t="shared" si="12"/>
        <v>clean tech solutions</v>
      </c>
      <c r="AA41" t="str">
        <f t="shared" si="13"/>
        <v>Store Supervisor</v>
      </c>
      <c r="AB41" t="str">
        <f t="shared" si="123"/>
        <v>741 Shastri Nagar</v>
      </c>
      <c r="AC41" t="str">
        <f t="shared" si="14"/>
        <v>DEPT-STORE-040</v>
      </c>
      <c r="AD41" t="str">
        <f t="shared" si="15"/>
        <v>Screen Cleaning Kit</v>
      </c>
      <c r="AE41" t="str">
        <f t="shared" si="16"/>
        <v>www.cleaning.com</v>
      </c>
      <c r="AF41" t="str">
        <f t="shared" si="17"/>
        <v>Alcohol-free solution</v>
      </c>
      <c r="AG41" t="str">
        <f t="shared" si="124"/>
        <v>CUST040</v>
      </c>
      <c r="AH41" t="str">
        <f t="shared" si="18"/>
        <v>PRD-CLEAN-040</v>
      </c>
      <c r="AI41" t="str">
        <f t="shared" si="125"/>
        <v>Sunita Verma</v>
      </c>
      <c r="AJ41" t="str">
        <f t="shared" si="126"/>
        <v>(0121) 9876-5432</v>
      </c>
      <c r="AK41" t="str">
        <f t="shared" si="19"/>
        <v>retail</v>
      </c>
      <c r="AL41" t="str">
        <f t="shared" si="20"/>
        <v>Clean Tech Solutions</v>
      </c>
      <c r="AM41" t="str">
        <f t="shared" si="127"/>
        <v>sunita.verma@mail.in</v>
      </c>
      <c r="AN41" t="str">
        <f t="shared" si="21"/>
        <v>STORE SUPERVISOR</v>
      </c>
      <c r="AO41" t="str">
        <f t="shared" si="128"/>
        <v>CUST040-sunita verma</v>
      </c>
      <c r="AP41" t="str">
        <f t="shared" si="22"/>
        <v>sunita verma</v>
      </c>
      <c r="AQ41" t="str">
        <f t="shared" si="23"/>
        <v>meerut, UTTAR PRADESH</v>
      </c>
      <c r="AR41" t="str">
        <f t="shared" si="24"/>
        <v>prd-clean-040:SCREEN cleaning KIT</v>
      </c>
      <c r="AS41" t="str">
        <f t="shared" si="25"/>
        <v>sunita.verma@mail.in|(0121) 9876-5432</v>
      </c>
      <c r="AT41" t="str">
        <f t="shared" si="26"/>
        <v>clean TECH solutions-Store Supervisor</v>
      </c>
      <c r="AU41" t="str">
        <f t="shared" si="27"/>
        <v>retail 20-Oct-2024</v>
      </c>
      <c r="AV41" t="str">
        <f t="shared" si="28"/>
        <v>741 Shastri Nagar,meerut, UTTAR PRADESH,250001</v>
      </c>
      <c r="AW41" t="str">
        <f t="shared" si="29"/>
        <v>dept-store-040_Store Supervisor</v>
      </c>
      <c r="AX41" t="str">
        <f t="shared" si="30"/>
        <v>Customer ID:CUST040</v>
      </c>
      <c r="AY41" t="str">
        <f t="shared" si="31"/>
        <v>Email:sunita.verma@mail.in</v>
      </c>
      <c r="AZ41" t="str">
        <f t="shared" si="32"/>
        <v>WWW.CLEANING.COM/contact</v>
      </c>
      <c r="BA41" t="str">
        <f t="shared" si="33"/>
        <v>Order Placed On 20-Oct-2024</v>
      </c>
      <c r="BB41" t="str">
        <f t="shared" si="34"/>
        <v>sunita verma(retail)</v>
      </c>
      <c r="BC41" t="str">
        <f t="shared" si="35"/>
        <v>prd-clean-040/SCREEN cleaning KIT</v>
      </c>
      <c r="BD41" t="str">
        <f t="shared" si="36"/>
        <v>call (0121) 9876-5432</v>
      </c>
      <c r="BE41" t="str">
        <f t="shared" si="37"/>
        <v>clean TECH solutions-dept-store-040</v>
      </c>
      <c r="BF41" t="str">
        <f t="shared" si="38"/>
        <v>CUST040-40</v>
      </c>
      <c r="BG41" t="str">
        <f t="shared" si="39"/>
        <v>Customer: sunita verma,Type: retail</v>
      </c>
      <c r="BH41" t="str">
        <f t="shared" si="40"/>
        <v>meerut,india</v>
      </c>
      <c r="BI41" t="str">
        <f t="shared" si="41"/>
        <v>CUST</v>
      </c>
      <c r="BJ41" t="str">
        <f t="shared" si="42"/>
        <v>sunita.ver</v>
      </c>
      <c r="BK41" t="str">
        <f t="shared" si="43"/>
        <v xml:space="preserve">sunita </v>
      </c>
      <c r="BL41" t="str">
        <f t="shared" si="44"/>
        <v>prd-c</v>
      </c>
      <c r="BM41" t="str">
        <f t="shared" si="45"/>
        <v>ret</v>
      </c>
      <c r="BN41" t="str">
        <f t="shared" si="46"/>
        <v>(0121) 9</v>
      </c>
      <c r="BO41" t="str">
        <f t="shared" si="47"/>
        <v>mail.in</v>
      </c>
      <c r="BP41" t="str">
        <f t="shared" si="48"/>
        <v>meerut</v>
      </c>
      <c r="BQ41" t="str">
        <f t="shared" si="49"/>
        <v>T040</v>
      </c>
      <c r="BR41" t="str">
        <f t="shared" si="50"/>
        <v xml:space="preserve"> verma</v>
      </c>
      <c r="BS41" t="str">
        <f t="shared" si="51"/>
        <v>an-040</v>
      </c>
      <c r="BU41" t="str">
        <f t="shared" si="52"/>
        <v>-5432</v>
      </c>
      <c r="BV41" t="str">
        <f t="shared" si="53"/>
        <v>250001</v>
      </c>
      <c r="BW41" t="str">
        <f t="shared" si="54"/>
        <v xml:space="preserve"> UTTAR PRADESH</v>
      </c>
      <c r="BX41" t="str">
        <f t="shared" si="55"/>
        <v>040</v>
      </c>
      <c r="BY41" t="str">
        <f t="shared" si="56"/>
        <v>store</v>
      </c>
      <c r="BZ41" t="str">
        <f t="shared" si="57"/>
        <v>clean</v>
      </c>
      <c r="CA41" t="str">
        <f t="shared" si="58"/>
        <v>Oct</v>
      </c>
      <c r="CB41" t="str">
        <f t="shared" si="59"/>
        <v>ean T</v>
      </c>
      <c r="CC41">
        <f t="shared" si="60"/>
        <v>13</v>
      </c>
      <c r="CD41">
        <f t="shared" si="61"/>
        <v>12</v>
      </c>
      <c r="CE41">
        <f t="shared" si="62"/>
        <v>20</v>
      </c>
      <c r="CF41">
        <f t="shared" si="63"/>
        <v>7</v>
      </c>
      <c r="CG41">
        <f t="shared" si="64"/>
        <v>19</v>
      </c>
      <c r="CH41">
        <f t="shared" si="65"/>
        <v>7</v>
      </c>
      <c r="CI41">
        <f t="shared" si="66"/>
        <v>7</v>
      </c>
      <c r="CJ41" t="str">
        <f t="shared" si="67"/>
        <v>Not found</v>
      </c>
      <c r="CK41">
        <f t="shared" si="68"/>
        <v>16</v>
      </c>
      <c r="CL41">
        <f t="shared" si="69"/>
        <v>4</v>
      </c>
      <c r="CM41">
        <f t="shared" si="70"/>
        <v>17</v>
      </c>
      <c r="CN41">
        <f t="shared" si="71"/>
        <v>7</v>
      </c>
      <c r="CO41">
        <f t="shared" si="72"/>
        <v>20</v>
      </c>
      <c r="CP41">
        <f t="shared" si="73"/>
        <v>10</v>
      </c>
      <c r="CQ41">
        <f t="shared" si="74"/>
        <v>14</v>
      </c>
      <c r="CR41" t="str">
        <f t="shared" si="75"/>
        <v>not found</v>
      </c>
      <c r="CS41">
        <f t="shared" si="76"/>
        <v>6</v>
      </c>
      <c r="CT41">
        <f t="shared" si="77"/>
        <v>10</v>
      </c>
      <c r="CU41">
        <f t="shared" si="78"/>
        <v>25</v>
      </c>
      <c r="CV41">
        <f t="shared" si="79"/>
        <v>3</v>
      </c>
      <c r="CW41" t="str">
        <f t="shared" si="80"/>
        <v>Customer ID040</v>
      </c>
      <c r="CX41" t="str">
        <f t="shared" si="81"/>
        <v>sunita.verma[AT]mail.in</v>
      </c>
      <c r="CY41" t="str">
        <f t="shared" si="82"/>
        <v>Product-CLEAN-040</v>
      </c>
      <c r="CZ41" t="str">
        <f t="shared" si="83"/>
        <v>prd_clean_040</v>
      </c>
      <c r="DA41" t="str">
        <f t="shared" si="84"/>
        <v>DEPARTMENT-STORE-040</v>
      </c>
      <c r="DB41" t="str">
        <f t="shared" si="85"/>
        <v>SUNITA.VERMA@MAIL.IN</v>
      </c>
      <c r="DC41" t="str">
        <f t="shared" si="86"/>
        <v>https://www..CLEANING.COM</v>
      </c>
      <c r="DD41" t="str">
        <f t="shared" si="87"/>
        <v>sunita/verma</v>
      </c>
      <c r="DE41" t="str">
        <f t="shared" si="88"/>
        <v>RETAIL CUSTOMER</v>
      </c>
      <c r="DF41" t="str">
        <f t="shared" si="89"/>
        <v>meerut; UTTAR PRADESH;250001</v>
      </c>
      <c r="DG41" t="str">
        <f t="shared" si="90"/>
        <v>Store Supervisor</v>
      </c>
      <c r="DH41" t="str">
        <f t="shared" si="91"/>
        <v xml:space="preserve"> 0121  9876-5432</v>
      </c>
      <c r="DI41" t="str">
        <f t="shared" si="92"/>
        <v>clean TECH solutions</v>
      </c>
      <c r="DJ41" t="str">
        <f t="shared" si="93"/>
        <v>WWW.CLEANING.COM</v>
      </c>
      <c r="DK41" t="str">
        <f t="shared" si="94"/>
        <v>741  Shastri  Nagar</v>
      </c>
      <c r="DL41" t="str">
        <f t="shared" si="95"/>
        <v>sunita.verma</v>
      </c>
      <c r="DM41" t="str">
        <f t="shared" si="96"/>
        <v>sunita.verma@clean TECH solutions.com</v>
      </c>
      <c r="DN41" t="str">
        <f t="shared" si="97"/>
        <v>sunita</v>
      </c>
      <c r="DO41" t="str">
        <f t="shared" si="98"/>
        <v>verma</v>
      </c>
      <c r="DP41" t="str">
        <f t="shared" si="99"/>
        <v>verma,sunita</v>
      </c>
      <c r="DQ41" t="str">
        <f t="shared" si="100"/>
        <v>Name has12characters</v>
      </c>
      <c r="DR41" t="str">
        <f t="shared" si="101"/>
        <v>Check Domain</v>
      </c>
      <c r="DS41" t="str">
        <f t="shared" si="102"/>
        <v>(012</v>
      </c>
      <c r="DT41" t="str">
        <f t="shared" si="103"/>
        <v>CUS040</v>
      </c>
      <c r="DU41" t="str">
        <f t="shared" si="104"/>
        <v>sverma</v>
      </c>
      <c r="DV41" t="str">
        <f t="shared" si="105"/>
        <v>prd040</v>
      </c>
      <c r="DW41" t="str">
        <f t="shared" si="106"/>
        <v>(0121) 9876-5432</v>
      </c>
      <c r="DX41" t="str">
        <f t="shared" si="107"/>
        <v>2024</v>
      </c>
      <c r="DY41" t="str">
        <f t="shared" si="108"/>
        <v>s</v>
      </c>
      <c r="DZ41" t="str">
        <f t="shared" si="109"/>
        <v>sunitaverma@clean TECH solutions.com</v>
      </c>
      <c r="EA41" t="str">
        <f t="shared" si="110"/>
        <v>Retail</v>
      </c>
      <c r="EB41" t="str">
        <f t="shared" si="111"/>
        <v>mail.in</v>
      </c>
      <c r="EC41">
        <f t="shared" si="112"/>
        <v>19</v>
      </c>
      <c r="ED41" t="str">
        <f t="shared" si="113"/>
        <v>me40</v>
      </c>
      <c r="EE41" t="str">
        <f t="shared" si="114"/>
        <v>meerut- UTTAR PRADESH(250001)</v>
      </c>
      <c r="EF41" t="str">
        <f t="shared" si="115"/>
        <v>012198765432</v>
      </c>
      <c r="EG41" t="str">
        <f t="shared" si="116"/>
        <v>CUST-040</v>
      </c>
      <c r="EH41" t="str">
        <f t="shared" si="117"/>
        <v>public</v>
      </c>
      <c r="EI41" t="str">
        <f t="shared" si="118"/>
        <v>PRD-040-20Oct24</v>
      </c>
      <c r="EJ41" t="str">
        <f t="shared" si="119"/>
        <v>Retail</v>
      </c>
    </row>
    <row r="42" spans="1:140" x14ac:dyDescent="0.3">
      <c r="A42" t="s">
        <v>538</v>
      </c>
      <c r="B42" t="s">
        <v>1495</v>
      </c>
      <c r="C42" t="s">
        <v>1496</v>
      </c>
      <c r="D42" t="s">
        <v>539</v>
      </c>
      <c r="E42" t="s">
        <v>540</v>
      </c>
      <c r="F42" t="s">
        <v>541</v>
      </c>
      <c r="G42" t="s">
        <v>542</v>
      </c>
      <c r="H42" t="s">
        <v>1644</v>
      </c>
      <c r="I42" t="s">
        <v>1620</v>
      </c>
      <c r="J42">
        <v>201301</v>
      </c>
      <c r="K42" t="str">
        <f t="shared" si="9"/>
        <v>NOIDA, Uttar Pradesh,201301</v>
      </c>
      <c r="L42" t="s">
        <v>543</v>
      </c>
      <c r="M42" t="s">
        <v>544</v>
      </c>
      <c r="N42" t="s">
        <v>545</v>
      </c>
      <c r="O42" t="s">
        <v>132</v>
      </c>
      <c r="P42" t="s">
        <v>546</v>
      </c>
      <c r="Q42" t="s">
        <v>547</v>
      </c>
      <c r="R42" t="s">
        <v>548</v>
      </c>
      <c r="S42" t="s">
        <v>549</v>
      </c>
      <c r="T42" t="s">
        <v>550</v>
      </c>
      <c r="U42" t="str">
        <f t="shared" si="120"/>
        <v xml:space="preserve">  VIVEK CHOPRA</v>
      </c>
      <c r="V42" t="str">
        <f t="shared" si="121"/>
        <v>vivek_chopra@email.in</v>
      </c>
      <c r="W42" t="str">
        <f t="shared" si="10"/>
        <v>Noida</v>
      </c>
      <c r="X42" t="str">
        <f t="shared" si="122"/>
        <v>VIVEK chopra</v>
      </c>
      <c r="Y42" t="str">
        <f t="shared" si="11"/>
        <v>CORPORATE</v>
      </c>
      <c r="Z42" t="str">
        <f t="shared" si="12"/>
        <v>security solutions india</v>
      </c>
      <c r="AA42" t="str">
        <f t="shared" si="13"/>
        <v>Security Manager</v>
      </c>
      <c r="AB42" t="str">
        <f t="shared" si="123"/>
        <v>852 Sector 62</v>
      </c>
      <c r="AC42" t="str">
        <f t="shared" si="14"/>
        <v>DEPT-SEC-041</v>
      </c>
      <c r="AD42" t="str">
        <f t="shared" si="15"/>
        <v>Kensington Laptop Lock</v>
      </c>
      <c r="AE42" t="str">
        <f t="shared" si="16"/>
        <v>www.security.in</v>
      </c>
      <c r="AF42" t="str">
        <f t="shared" si="17"/>
        <v>Key lock type preferred</v>
      </c>
      <c r="AG42" t="str">
        <f t="shared" si="124"/>
        <v>CUST041</v>
      </c>
      <c r="AH42" t="str">
        <f t="shared" si="18"/>
        <v>PRD-LOCK-041</v>
      </c>
      <c r="AI42" t="str">
        <f t="shared" si="125"/>
        <v xml:space="preserve">  Vivek Chopra</v>
      </c>
      <c r="AJ42" t="str">
        <f t="shared" si="126"/>
        <v>0120-3456789</v>
      </c>
      <c r="AK42" t="str">
        <f t="shared" si="19"/>
        <v>corporate</v>
      </c>
      <c r="AL42" t="str">
        <f t="shared" si="20"/>
        <v>Security Solutions India</v>
      </c>
      <c r="AM42" t="str">
        <f t="shared" si="127"/>
        <v>vivek_chopra@email.in</v>
      </c>
      <c r="AN42" t="str">
        <f t="shared" si="21"/>
        <v>SECURITY MANAGER</v>
      </c>
      <c r="AO42" t="str">
        <f t="shared" si="128"/>
        <v>cust041-  VIVEK chopra</v>
      </c>
      <c r="AP42" t="str">
        <f t="shared" si="22"/>
        <v>VIVEK chopra</v>
      </c>
      <c r="AQ42" t="str">
        <f t="shared" si="23"/>
        <v>NOIDA, Uttar Pradesh</v>
      </c>
      <c r="AR42" t="str">
        <f t="shared" si="24"/>
        <v>PRD-LOCK-041:kensington LAPTOP lock</v>
      </c>
      <c r="AS42" t="str">
        <f t="shared" si="25"/>
        <v>vivek_chopra@email.in|0120-3456789</v>
      </c>
      <c r="AT42" t="str">
        <f t="shared" si="26"/>
        <v>SECURITY solutions INDIA-Security Manager</v>
      </c>
      <c r="AU42" t="str">
        <f t="shared" si="27"/>
        <v>Corporate 27-Oct-2024</v>
      </c>
      <c r="AV42" t="str">
        <f t="shared" si="28"/>
        <v xml:space="preserve">  852 Sector 62  ,NOIDA, Uttar Pradesh,201301</v>
      </c>
      <c r="AW42" t="str">
        <f t="shared" si="29"/>
        <v>DEPT-SEC-041_Security Manager</v>
      </c>
      <c r="AX42" t="str">
        <f t="shared" si="30"/>
        <v>Customer ID:cust041</v>
      </c>
      <c r="AY42" t="str">
        <f t="shared" si="31"/>
        <v>Email:vivek_chopra@email.in</v>
      </c>
      <c r="AZ42" t="str">
        <f t="shared" si="32"/>
        <v>www.security.in/contact</v>
      </c>
      <c r="BA42" t="str">
        <f t="shared" si="33"/>
        <v>Order Placed On 27-Oct-2024</v>
      </c>
      <c r="BB42" t="str">
        <f t="shared" si="34"/>
        <v xml:space="preserve">  VIVEK chopra(Corporate)</v>
      </c>
      <c r="BC42" t="str">
        <f t="shared" si="35"/>
        <v>PRD-LOCK-041/kensington LAPTOP lock</v>
      </c>
      <c r="BD42" t="str">
        <f t="shared" si="36"/>
        <v>call 0120-3456789</v>
      </c>
      <c r="BE42" t="str">
        <f t="shared" si="37"/>
        <v>SECURITY solutions INDIA-DEPT-SEC-041</v>
      </c>
      <c r="BF42" t="str">
        <f t="shared" si="38"/>
        <v>cust041-41</v>
      </c>
      <c r="BG42" t="str">
        <f t="shared" si="39"/>
        <v>Customer:   VIVEK chopra,Type: Corporate</v>
      </c>
      <c r="BH42" t="str">
        <f t="shared" si="40"/>
        <v>NOIDA,india</v>
      </c>
      <c r="BI42" t="str">
        <f t="shared" si="41"/>
        <v>cust</v>
      </c>
      <c r="BJ42" t="str">
        <f t="shared" si="42"/>
        <v>vivek_chop</v>
      </c>
      <c r="BK42" t="str">
        <f t="shared" si="43"/>
        <v xml:space="preserve">VIVEK </v>
      </c>
      <c r="BL42" t="str">
        <f t="shared" si="44"/>
        <v>PRD-L</v>
      </c>
      <c r="BM42" t="str">
        <f t="shared" si="45"/>
        <v>Cor</v>
      </c>
      <c r="BN42" t="str">
        <f t="shared" si="46"/>
        <v>0120-345</v>
      </c>
      <c r="BO42" t="str">
        <f t="shared" si="47"/>
        <v>email.in</v>
      </c>
      <c r="BP42" t="str">
        <f t="shared" si="48"/>
        <v>NOIDA</v>
      </c>
      <c r="BQ42" t="str">
        <f t="shared" si="49"/>
        <v>t041</v>
      </c>
      <c r="BR42" t="str">
        <f t="shared" si="50"/>
        <v>hopra</v>
      </c>
      <c r="BS42" t="str">
        <f t="shared" si="51"/>
        <v>CK-041</v>
      </c>
      <c r="BU42" t="str">
        <f t="shared" si="52"/>
        <v>56789</v>
      </c>
      <c r="BV42" t="str">
        <f t="shared" si="53"/>
        <v>201301</v>
      </c>
      <c r="BW42" t="str">
        <f t="shared" si="54"/>
        <v xml:space="preserve"> Uttar Pradesh</v>
      </c>
      <c r="BX42" t="str">
        <f t="shared" si="55"/>
        <v>041</v>
      </c>
      <c r="BY42" t="str">
        <f t="shared" si="56"/>
        <v>SEC</v>
      </c>
      <c r="BZ42" t="str">
        <f t="shared" si="57"/>
        <v>LOCK</v>
      </c>
      <c r="CA42" t="str">
        <f t="shared" si="58"/>
        <v>Oct</v>
      </c>
      <c r="CB42" t="str">
        <f t="shared" si="59"/>
        <v>CURIT</v>
      </c>
      <c r="CC42">
        <f t="shared" si="60"/>
        <v>13</v>
      </c>
      <c r="CD42">
        <f t="shared" si="61"/>
        <v>14</v>
      </c>
      <c r="CE42">
        <f t="shared" si="62"/>
        <v>21</v>
      </c>
      <c r="CF42">
        <f t="shared" si="63"/>
        <v>1</v>
      </c>
      <c r="CG42">
        <f t="shared" si="64"/>
        <v>22</v>
      </c>
      <c r="CH42">
        <f t="shared" si="65"/>
        <v>6</v>
      </c>
      <c r="CI42">
        <f t="shared" si="66"/>
        <v>7</v>
      </c>
      <c r="CJ42">
        <f t="shared" si="67"/>
        <v>1</v>
      </c>
      <c r="CK42">
        <f t="shared" si="68"/>
        <v>12</v>
      </c>
      <c r="CL42">
        <f t="shared" si="69"/>
        <v>4</v>
      </c>
      <c r="CM42">
        <f t="shared" si="70"/>
        <v>17</v>
      </c>
      <c r="CN42">
        <f t="shared" si="71"/>
        <v>19</v>
      </c>
      <c r="CO42">
        <f t="shared" si="72"/>
        <v>24</v>
      </c>
      <c r="CP42">
        <f t="shared" si="73"/>
        <v>9</v>
      </c>
      <c r="CQ42">
        <f t="shared" si="74"/>
        <v>12</v>
      </c>
      <c r="CR42" t="str">
        <f t="shared" si="75"/>
        <v>not found</v>
      </c>
      <c r="CS42">
        <f t="shared" si="76"/>
        <v>9</v>
      </c>
      <c r="CT42">
        <f t="shared" si="77"/>
        <v>9</v>
      </c>
      <c r="CU42">
        <f t="shared" si="78"/>
        <v>23</v>
      </c>
      <c r="CV42">
        <f t="shared" si="79"/>
        <v>3</v>
      </c>
      <c r="CW42" t="str">
        <f t="shared" si="80"/>
        <v>Customer ID041</v>
      </c>
      <c r="CX42" t="str">
        <f t="shared" si="81"/>
        <v>vivek_chopra[AT]email.in</v>
      </c>
      <c r="CY42" t="str">
        <f t="shared" si="82"/>
        <v>Product-LOCK-041</v>
      </c>
      <c r="CZ42" t="str">
        <f t="shared" si="83"/>
        <v>PRD_LOCK_041</v>
      </c>
      <c r="DA42" t="str">
        <f t="shared" si="84"/>
        <v>DEPARTMENT-SEC-041</v>
      </c>
      <c r="DB42" t="str">
        <f t="shared" si="85"/>
        <v>VIVEK_CHOPRA@EMAIL.IN</v>
      </c>
      <c r="DC42" t="str">
        <f t="shared" si="86"/>
        <v>https://www..SECURITY.IN</v>
      </c>
      <c r="DD42" t="str">
        <f t="shared" si="87"/>
        <v>//VIVEK/chopra</v>
      </c>
      <c r="DE42" t="str">
        <f t="shared" si="88"/>
        <v>Corporate</v>
      </c>
      <c r="DF42" t="str">
        <f t="shared" si="89"/>
        <v>NOIDA; Uttar Pradesh;201301</v>
      </c>
      <c r="DG42" t="str">
        <f t="shared" si="90"/>
        <v>Security Manager</v>
      </c>
      <c r="DH42" t="str">
        <f t="shared" si="91"/>
        <v>0120-3456789</v>
      </c>
      <c r="DI42" t="str">
        <f t="shared" si="92"/>
        <v>SECURITY solutions INDIA</v>
      </c>
      <c r="DJ42" t="str">
        <f t="shared" si="93"/>
        <v>www.security.in</v>
      </c>
      <c r="DK42" t="str">
        <f t="shared" si="94"/>
        <v xml:space="preserve">    852  Sector  62    </v>
      </c>
      <c r="DL42" t="str">
        <f t="shared" si="95"/>
        <v>vivek_chopra</v>
      </c>
      <c r="DM42" t="str">
        <f t="shared" si="96"/>
        <v>VIVEK.chopra@SECURITY solutions INDIA.com</v>
      </c>
      <c r="DN42" t="str">
        <f t="shared" si="97"/>
        <v>VIVEK</v>
      </c>
      <c r="DO42" t="str">
        <f t="shared" si="98"/>
        <v>chopra</v>
      </c>
      <c r="DP42" t="str">
        <f t="shared" si="99"/>
        <v>chopra,VIVEK</v>
      </c>
      <c r="DQ42" t="str">
        <f t="shared" si="100"/>
        <v>Name has12characters</v>
      </c>
      <c r="DR42" t="str">
        <f t="shared" si="101"/>
        <v>Check Domain</v>
      </c>
      <c r="DS42" t="str">
        <f t="shared" si="102"/>
        <v>0120</v>
      </c>
      <c r="DT42" t="str">
        <f t="shared" si="103"/>
        <v>cus041</v>
      </c>
      <c r="DU42" t="str">
        <f t="shared" si="104"/>
        <v>Vchopra</v>
      </c>
      <c r="DV42" t="str">
        <f t="shared" si="105"/>
        <v>PRD041</v>
      </c>
      <c r="DW42" t="str">
        <f t="shared" si="106"/>
        <v>0120-3456789</v>
      </c>
      <c r="DX42" t="str">
        <f t="shared" si="107"/>
        <v>2024</v>
      </c>
      <c r="DY42" t="str">
        <f t="shared" si="108"/>
        <v>V</v>
      </c>
      <c r="DZ42" t="str">
        <f t="shared" si="109"/>
        <v>VIVEKchopra@SECURITY solutions INDIA.com</v>
      </c>
      <c r="EA42" t="str">
        <f t="shared" si="110"/>
        <v/>
      </c>
      <c r="EB42" t="str">
        <f t="shared" si="111"/>
        <v>email.in</v>
      </c>
      <c r="EC42">
        <f t="shared" si="112"/>
        <v>22</v>
      </c>
      <c r="ED42" t="str">
        <f t="shared" si="113"/>
        <v>NO41</v>
      </c>
      <c r="EE42" t="str">
        <f t="shared" si="114"/>
        <v>NOIDA- Uttar Pradesh(201301)</v>
      </c>
      <c r="EF42" t="str">
        <f t="shared" si="115"/>
        <v>01203456789</v>
      </c>
      <c r="EG42" t="str">
        <f t="shared" si="116"/>
        <v>CUST-041</v>
      </c>
      <c r="EH42" t="str">
        <f t="shared" si="117"/>
        <v>public</v>
      </c>
      <c r="EI42" t="str">
        <f t="shared" si="118"/>
        <v>PRD-041-27Oct24</v>
      </c>
      <c r="EJ42" t="str">
        <f t="shared" si="119"/>
        <v>Corporate</v>
      </c>
    </row>
    <row r="43" spans="1:140" x14ac:dyDescent="0.3">
      <c r="A43" t="s">
        <v>551</v>
      </c>
      <c r="B43" t="s">
        <v>1497</v>
      </c>
      <c r="C43" t="s">
        <v>1498</v>
      </c>
      <c r="D43" t="s">
        <v>552</v>
      </c>
      <c r="E43" t="s">
        <v>553</v>
      </c>
      <c r="F43" t="s">
        <v>554</v>
      </c>
      <c r="G43" t="s">
        <v>555</v>
      </c>
      <c r="H43" t="s">
        <v>1645</v>
      </c>
      <c r="I43" t="s">
        <v>1631</v>
      </c>
      <c r="J43">
        <v>121002</v>
      </c>
      <c r="K43" t="str">
        <f t="shared" si="9"/>
        <v>Faridabad, HARYANA,121002</v>
      </c>
      <c r="L43" t="s">
        <v>556</v>
      </c>
      <c r="M43" t="s">
        <v>557</v>
      </c>
      <c r="N43" t="s">
        <v>558</v>
      </c>
      <c r="O43" t="s">
        <v>78</v>
      </c>
      <c r="P43" t="s">
        <v>559</v>
      </c>
      <c r="Q43" t="s">
        <v>560</v>
      </c>
      <c r="R43" t="s">
        <v>561</v>
      </c>
      <c r="S43" t="s">
        <v>562</v>
      </c>
      <c r="T43" t="s">
        <v>563</v>
      </c>
      <c r="U43" t="str">
        <f t="shared" si="120"/>
        <v xml:space="preserve">SAPNA BHATIA  </v>
      </c>
      <c r="V43" t="str">
        <f t="shared" si="121"/>
        <v>sapna.bhatia@corporate.in</v>
      </c>
      <c r="W43" t="str">
        <f t="shared" si="10"/>
        <v>Faridabad</v>
      </c>
      <c r="X43" t="str">
        <f t="shared" si="122"/>
        <v>sapna BHATIA</v>
      </c>
      <c r="Y43" t="str">
        <f t="shared" si="11"/>
        <v>RETAIL</v>
      </c>
      <c r="Z43" t="str">
        <f t="shared" si="12"/>
        <v xml:space="preserve">  skin store pro  </v>
      </c>
      <c r="AA43" t="str">
        <f t="shared" si="13"/>
        <v>Design Head</v>
      </c>
      <c r="AB43" t="str">
        <f t="shared" si="123"/>
        <v>963 Old Faridabad</v>
      </c>
      <c r="AC43" t="str">
        <f t="shared" si="14"/>
        <v>DEPT-DES-042</v>
      </c>
      <c r="AD43" t="str">
        <f t="shared" si="15"/>
        <v>Dbrand Laptop Skin Macbook</v>
      </c>
      <c r="AE43" t="str">
        <f t="shared" si="16"/>
        <v>https://skins.com</v>
      </c>
      <c r="AF43" t="str">
        <f t="shared" si="17"/>
        <v>Custom design request</v>
      </c>
      <c r="AG43" t="str">
        <f t="shared" si="124"/>
        <v>CUST042</v>
      </c>
      <c r="AH43" t="str">
        <f t="shared" si="18"/>
        <v>PRD-SKIN-042</v>
      </c>
      <c r="AI43" t="str">
        <f t="shared" si="125"/>
        <v xml:space="preserve">Sapna Bhatia  </v>
      </c>
      <c r="AJ43" t="str">
        <f t="shared" si="126"/>
        <v>+91-9123890123</v>
      </c>
      <c r="AK43" t="str">
        <f t="shared" si="19"/>
        <v>retail</v>
      </c>
      <c r="AL43" t="str">
        <f t="shared" si="20"/>
        <v>Skin Store Pro</v>
      </c>
      <c r="AM43" t="str">
        <f t="shared" si="127"/>
        <v>sapna.bhatia@corporate.in</v>
      </c>
      <c r="AN43" t="str">
        <f t="shared" si="21"/>
        <v>DESIGN HEAD</v>
      </c>
      <c r="AO43" t="str">
        <f t="shared" si="128"/>
        <v xml:space="preserve">Cust042-sapna BHATIA  </v>
      </c>
      <c r="AP43" t="str">
        <f t="shared" si="22"/>
        <v>sapna BHATIA</v>
      </c>
      <c r="AQ43" t="str">
        <f t="shared" si="23"/>
        <v>Faridabad, HARYANA</v>
      </c>
      <c r="AR43" t="str">
        <f t="shared" si="24"/>
        <v>prd-skin-042:DBRAND laptop SKIN macbook</v>
      </c>
      <c r="AS43" t="str">
        <f t="shared" si="25"/>
        <v>SAPNA.BHATIA@CORPORATE.IN|+91-9123890123</v>
      </c>
      <c r="AT43" t="str">
        <f t="shared" si="26"/>
        <v xml:space="preserve">  SKIN store PRO  -DESIGN HEAD</v>
      </c>
      <c r="AU43" t="str">
        <f t="shared" si="27"/>
        <v>retail 03-Nov-2024</v>
      </c>
      <c r="AV43" t="str">
        <f t="shared" si="28"/>
        <v>963 Old Faridabad,Faridabad, HARYANA,121002</v>
      </c>
      <c r="AW43" t="str">
        <f t="shared" si="29"/>
        <v>dept-des-042_DESIGN HEAD</v>
      </c>
      <c r="AX43" t="str">
        <f t="shared" si="30"/>
        <v>Customer ID:Cust042</v>
      </c>
      <c r="AY43" t="str">
        <f t="shared" si="31"/>
        <v>Email:SAPNA.BHATIA@CORPORATE.IN</v>
      </c>
      <c r="AZ43" t="str">
        <f t="shared" si="32"/>
        <v>https://skins.com/contact</v>
      </c>
      <c r="BA43" t="str">
        <f t="shared" si="33"/>
        <v>Order Placed On 03-Nov-2024</v>
      </c>
      <c r="BB43" t="str">
        <f t="shared" si="34"/>
        <v>sapna BHATIA  (retail)</v>
      </c>
      <c r="BC43" t="str">
        <f t="shared" si="35"/>
        <v>prd-skin-042/DBRAND laptop SKIN macbook</v>
      </c>
      <c r="BD43" t="str">
        <f t="shared" si="36"/>
        <v>call +91-9123890123</v>
      </c>
      <c r="BE43" t="str">
        <f t="shared" si="37"/>
        <v xml:space="preserve">  SKIN store PRO  -dept-des-042</v>
      </c>
      <c r="BF43" t="str">
        <f t="shared" si="38"/>
        <v>Cust042-42</v>
      </c>
      <c r="BG43" t="str">
        <f t="shared" si="39"/>
        <v>Customer: sapna BHATIA  ,Type: retail</v>
      </c>
      <c r="BH43" t="str">
        <f t="shared" si="40"/>
        <v>Faridabad,india</v>
      </c>
      <c r="BI43" t="str">
        <f t="shared" si="41"/>
        <v>Cust</v>
      </c>
      <c r="BJ43" t="str">
        <f t="shared" si="42"/>
        <v>SAPNA.BHAT</v>
      </c>
      <c r="BK43" t="str">
        <f t="shared" si="43"/>
        <v xml:space="preserve">sapna </v>
      </c>
      <c r="BL43" t="str">
        <f t="shared" si="44"/>
        <v>prd-s</v>
      </c>
      <c r="BM43" t="str">
        <f t="shared" si="45"/>
        <v>ret</v>
      </c>
      <c r="BN43" t="str">
        <f t="shared" si="46"/>
        <v>+91-9123</v>
      </c>
      <c r="BO43" t="str">
        <f t="shared" si="47"/>
        <v>CORPORATE.IN</v>
      </c>
      <c r="BP43" t="str">
        <f t="shared" si="48"/>
        <v>Faridabad</v>
      </c>
      <c r="BQ43" t="str">
        <f t="shared" si="49"/>
        <v>t042</v>
      </c>
      <c r="BR43" t="str">
        <f t="shared" si="50"/>
        <v>HATIA</v>
      </c>
      <c r="BS43" t="str">
        <f t="shared" si="51"/>
        <v>in-042</v>
      </c>
      <c r="BU43" t="str">
        <f t="shared" si="52"/>
        <v>90123</v>
      </c>
      <c r="BV43" t="str">
        <f t="shared" si="53"/>
        <v>121002</v>
      </c>
      <c r="BW43" t="str">
        <f t="shared" si="54"/>
        <v xml:space="preserve"> HARYANA</v>
      </c>
      <c r="BX43" t="str">
        <f t="shared" si="55"/>
        <v>042</v>
      </c>
      <c r="BY43" t="str">
        <f t="shared" si="56"/>
        <v>des</v>
      </c>
      <c r="BZ43" t="str">
        <f t="shared" si="57"/>
        <v>skin</v>
      </c>
      <c r="CA43" t="str">
        <f t="shared" si="58"/>
        <v>Nov</v>
      </c>
      <c r="CB43" t="str">
        <f t="shared" si="59"/>
        <v xml:space="preserve">SKIN </v>
      </c>
      <c r="CC43">
        <f t="shared" si="60"/>
        <v>13</v>
      </c>
      <c r="CD43">
        <f t="shared" si="61"/>
        <v>14</v>
      </c>
      <c r="CE43">
        <f t="shared" si="62"/>
        <v>25</v>
      </c>
      <c r="CF43">
        <f t="shared" si="63"/>
        <v>6</v>
      </c>
      <c r="CG43">
        <f t="shared" si="64"/>
        <v>26</v>
      </c>
      <c r="CH43">
        <f t="shared" si="65"/>
        <v>10</v>
      </c>
      <c r="CI43">
        <f t="shared" si="66"/>
        <v>7</v>
      </c>
      <c r="CJ43" t="str">
        <f t="shared" si="67"/>
        <v>Not found</v>
      </c>
      <c r="CK43">
        <f t="shared" si="68"/>
        <v>14</v>
      </c>
      <c r="CL43">
        <f t="shared" si="69"/>
        <v>4</v>
      </c>
      <c r="CM43">
        <f t="shared" si="70"/>
        <v>17</v>
      </c>
      <c r="CN43">
        <f t="shared" si="71"/>
        <v>6</v>
      </c>
      <c r="CO43">
        <f t="shared" si="72"/>
        <v>14</v>
      </c>
      <c r="CP43">
        <f t="shared" si="73"/>
        <v>9</v>
      </c>
      <c r="CQ43">
        <f t="shared" si="74"/>
        <v>12</v>
      </c>
      <c r="CR43">
        <f t="shared" si="75"/>
        <v>7</v>
      </c>
      <c r="CS43">
        <f t="shared" si="76"/>
        <v>6</v>
      </c>
      <c r="CT43">
        <f t="shared" si="77"/>
        <v>9</v>
      </c>
      <c r="CU43">
        <f t="shared" si="78"/>
        <v>21</v>
      </c>
      <c r="CV43">
        <f t="shared" si="79"/>
        <v>3</v>
      </c>
      <c r="CW43" t="str">
        <f t="shared" si="80"/>
        <v>Customer ID042</v>
      </c>
      <c r="CX43" t="str">
        <f t="shared" si="81"/>
        <v>SAPNA.BHATIA[AT]CORPORATE.IN</v>
      </c>
      <c r="CY43" t="str">
        <f t="shared" si="82"/>
        <v>Product-SKIN-042</v>
      </c>
      <c r="CZ43" t="str">
        <f t="shared" si="83"/>
        <v>prd_skin_042</v>
      </c>
      <c r="DA43" t="str">
        <f t="shared" si="84"/>
        <v>DEPARTMENT-DES-042</v>
      </c>
      <c r="DB43" t="str">
        <f t="shared" si="85"/>
        <v>SAPNA.BHATIA@CORPORATE.IN</v>
      </c>
      <c r="DC43" t="str">
        <f t="shared" si="86"/>
        <v>HTTPS://SKINS.COM</v>
      </c>
      <c r="DD43" t="str">
        <f t="shared" si="87"/>
        <v>sapna/BHATIA//</v>
      </c>
      <c r="DE43" t="str">
        <f t="shared" si="88"/>
        <v>RETAIL CUSTOMER</v>
      </c>
      <c r="DF43" t="str">
        <f t="shared" si="89"/>
        <v>Faridabad; HARYANA;121002</v>
      </c>
      <c r="DG43" t="str">
        <f t="shared" si="90"/>
        <v>DESIGN HEAD</v>
      </c>
      <c r="DH43" t="str">
        <f t="shared" si="91"/>
        <v>+91-9123890123</v>
      </c>
      <c r="DI43" t="str">
        <f t="shared" si="92"/>
        <v xml:space="preserve">  SKIN store PRO  </v>
      </c>
      <c r="DJ43" t="str">
        <f t="shared" si="93"/>
        <v>https:://skins.com</v>
      </c>
      <c r="DK43" t="str">
        <f t="shared" si="94"/>
        <v>963  Old  Faridabad</v>
      </c>
      <c r="DL43" t="str">
        <f t="shared" si="95"/>
        <v>SAPNA.BHATIA</v>
      </c>
      <c r="DM43" t="str">
        <f t="shared" si="96"/>
        <v>sapna.BHATIA@  SKIN store PRO  .com</v>
      </c>
      <c r="DN43" t="str">
        <f t="shared" si="97"/>
        <v>sapna</v>
      </c>
      <c r="DO43" t="str">
        <f t="shared" si="98"/>
        <v>BHATIA</v>
      </c>
      <c r="DP43" t="str">
        <f t="shared" si="99"/>
        <v>BHATIA,sapna</v>
      </c>
      <c r="DQ43" t="str">
        <f t="shared" si="100"/>
        <v>Name has12characters</v>
      </c>
      <c r="DR43" t="str">
        <f t="shared" si="101"/>
        <v>Check Domain</v>
      </c>
      <c r="DS43" t="str">
        <f t="shared" si="102"/>
        <v>+91-</v>
      </c>
      <c r="DT43" t="str">
        <f t="shared" si="103"/>
        <v>Cus042</v>
      </c>
      <c r="DU43" t="str">
        <f t="shared" si="104"/>
        <v>sbhatia</v>
      </c>
      <c r="DV43" t="str">
        <f t="shared" si="105"/>
        <v>prd042</v>
      </c>
      <c r="DW43" t="str">
        <f t="shared" si="106"/>
        <v>+91-9123890123</v>
      </c>
      <c r="DX43" t="str">
        <f t="shared" si="107"/>
        <v>2024</v>
      </c>
      <c r="DY43" t="str">
        <f t="shared" si="108"/>
        <v>s</v>
      </c>
      <c r="DZ43" t="str">
        <f t="shared" si="109"/>
        <v>sapnaBHATIA@  SKIN store PRO  .com</v>
      </c>
      <c r="EA43" t="str">
        <f t="shared" si="110"/>
        <v>Retail</v>
      </c>
      <c r="EB43" t="str">
        <f t="shared" si="111"/>
        <v>CORPORATE.IN</v>
      </c>
      <c r="EC43">
        <f t="shared" si="112"/>
        <v>26</v>
      </c>
      <c r="ED43" t="str">
        <f t="shared" si="113"/>
        <v>Fa42</v>
      </c>
      <c r="EE43" t="str">
        <f t="shared" si="114"/>
        <v>Faridabad- HARYANA(121002)</v>
      </c>
      <c r="EF43" t="str">
        <f t="shared" si="115"/>
        <v>919123890123</v>
      </c>
      <c r="EG43" t="str">
        <f t="shared" si="116"/>
        <v>CUST-042</v>
      </c>
      <c r="EH43" t="str">
        <f t="shared" si="117"/>
        <v>public</v>
      </c>
      <c r="EI43" t="str">
        <f t="shared" si="118"/>
        <v>PRD-042-03Nov24</v>
      </c>
      <c r="EJ43" t="str">
        <f t="shared" si="119"/>
        <v>Retail</v>
      </c>
    </row>
    <row r="44" spans="1:140" x14ac:dyDescent="0.3">
      <c r="A44" t="s">
        <v>564</v>
      </c>
      <c r="B44" t="s">
        <v>1499</v>
      </c>
      <c r="C44" t="s">
        <v>1475</v>
      </c>
      <c r="D44" t="s">
        <v>565</v>
      </c>
      <c r="E44" t="s">
        <v>566</v>
      </c>
      <c r="F44" t="s">
        <v>567</v>
      </c>
      <c r="G44" t="s">
        <v>568</v>
      </c>
      <c r="H44" t="s">
        <v>1646</v>
      </c>
      <c r="I44" t="s">
        <v>1647</v>
      </c>
      <c r="J44">
        <v>834001</v>
      </c>
      <c r="K44" t="str">
        <f t="shared" si="9"/>
        <v>ranchi, JHARKHAND,834001</v>
      </c>
      <c r="L44" t="s">
        <v>569</v>
      </c>
      <c r="M44" t="s">
        <v>570</v>
      </c>
      <c r="N44" t="s">
        <v>571</v>
      </c>
      <c r="O44" t="s">
        <v>50</v>
      </c>
      <c r="P44" t="s">
        <v>572</v>
      </c>
      <c r="Q44" t="s">
        <v>573</v>
      </c>
      <c r="R44" t="s">
        <v>25</v>
      </c>
      <c r="S44" t="s">
        <v>574</v>
      </c>
      <c r="T44" t="s">
        <v>575</v>
      </c>
      <c r="U44" t="str">
        <f t="shared" si="120"/>
        <v>ASHISH KUMAR</v>
      </c>
      <c r="V44" t="str">
        <f t="shared" si="121"/>
        <v>ashish.kumar@mail.in</v>
      </c>
      <c r="W44" t="str">
        <f t="shared" si="10"/>
        <v>Ranchi</v>
      </c>
      <c r="X44" t="str">
        <f t="shared" si="122"/>
        <v>ashish kumar</v>
      </c>
      <c r="Y44" t="str">
        <f t="shared" si="11"/>
        <v>RETAIL</v>
      </c>
      <c r="Z44" t="str">
        <f t="shared" si="12"/>
        <v>protector world</v>
      </c>
      <c r="AA44" t="str">
        <f t="shared" si="13"/>
        <v>Sales Manager</v>
      </c>
      <c r="AB44" t="str">
        <f t="shared" si="123"/>
        <v>159 Main Road</v>
      </c>
      <c r="AC44" t="str">
        <f t="shared" si="14"/>
        <v>DEPT-SALES-043</v>
      </c>
      <c r="AD44" t="str">
        <f t="shared" si="15"/>
        <v>Spigen Tempered Glass Screen Protector</v>
      </c>
      <c r="AE44" t="str">
        <f t="shared" si="16"/>
        <v>www.protectors.in</v>
      </c>
      <c r="AF44" t="str">
        <f t="shared" si="17"/>
        <v>Anti-glare coating needed</v>
      </c>
      <c r="AG44" t="str">
        <f t="shared" si="124"/>
        <v>CUST043</v>
      </c>
      <c r="AH44" t="str">
        <f t="shared" si="18"/>
        <v>PRD-GLASS-043</v>
      </c>
      <c r="AI44" t="str">
        <f t="shared" si="125"/>
        <v>Ashish Kumar</v>
      </c>
      <c r="AJ44" t="str">
        <f t="shared" si="126"/>
        <v>(0651) 2468-9753</v>
      </c>
      <c r="AK44" t="str">
        <f t="shared" si="19"/>
        <v>retail</v>
      </c>
      <c r="AL44" t="str">
        <f t="shared" si="20"/>
        <v>Protector World</v>
      </c>
      <c r="AM44" t="str">
        <f t="shared" si="127"/>
        <v>ashish.kumar@mail.in</v>
      </c>
      <c r="AN44" t="str">
        <f t="shared" si="21"/>
        <v>SALES MANAGER</v>
      </c>
      <c r="AO44" t="str">
        <f t="shared" si="128"/>
        <v>CUST043-ashish kumar</v>
      </c>
      <c r="AP44" t="str">
        <f t="shared" si="22"/>
        <v>ashish kumar</v>
      </c>
      <c r="AQ44" t="str">
        <f t="shared" si="23"/>
        <v>ranchi, JHARKHAND</v>
      </c>
      <c r="AR44" t="str">
        <f t="shared" si="24"/>
        <v>prd-glass-043:SPIGEN tempered GLASS screen protector</v>
      </c>
      <c r="AS44" t="str">
        <f t="shared" si="25"/>
        <v>ashish.kumar@mail.in|(0651) 2468-9753</v>
      </c>
      <c r="AT44" t="str">
        <f t="shared" si="26"/>
        <v>protector WORLD-sales manager</v>
      </c>
      <c r="AU44" t="str">
        <f t="shared" si="27"/>
        <v>Retail 10-Nov-2024</v>
      </c>
      <c r="AV44" t="str">
        <f t="shared" si="28"/>
        <v>159 Main Road,ranchi, JHARKHAND,834001</v>
      </c>
      <c r="AW44" t="str">
        <f t="shared" si="29"/>
        <v>dept-sales-043_sales manager</v>
      </c>
      <c r="AX44" t="str">
        <f t="shared" si="30"/>
        <v>Customer ID:CUST043</v>
      </c>
      <c r="AY44" t="str">
        <f t="shared" si="31"/>
        <v>Email:ashish.kumar@mail.in</v>
      </c>
      <c r="AZ44" t="str">
        <f t="shared" si="32"/>
        <v>WWW.PROTECTORS.IN/contact</v>
      </c>
      <c r="BA44" t="str">
        <f t="shared" si="33"/>
        <v>Order Placed On 10-Nov-2024</v>
      </c>
      <c r="BB44" t="str">
        <f t="shared" si="34"/>
        <v>ashish kumar(Retail)</v>
      </c>
      <c r="BC44" t="str">
        <f t="shared" si="35"/>
        <v>prd-glass-043/SPIGEN tempered GLASS screen protector</v>
      </c>
      <c r="BD44" t="str">
        <f t="shared" si="36"/>
        <v>call (0651) 2468-9753</v>
      </c>
      <c r="BE44" t="str">
        <f t="shared" si="37"/>
        <v>protector WORLD-dept-sales-043</v>
      </c>
      <c r="BF44" t="str">
        <f t="shared" si="38"/>
        <v>CUST043-43</v>
      </c>
      <c r="BG44" t="str">
        <f t="shared" si="39"/>
        <v>Customer: ashish kumar,Type: Retail</v>
      </c>
      <c r="BH44" t="str">
        <f t="shared" si="40"/>
        <v>ranchi,india</v>
      </c>
      <c r="BI44" t="str">
        <f t="shared" si="41"/>
        <v>CUST</v>
      </c>
      <c r="BJ44" t="str">
        <f t="shared" si="42"/>
        <v>ashish.kum</v>
      </c>
      <c r="BK44" t="str">
        <f t="shared" si="43"/>
        <v xml:space="preserve">ashish </v>
      </c>
      <c r="BL44" t="str">
        <f t="shared" si="44"/>
        <v>prd-g</v>
      </c>
      <c r="BM44" t="str">
        <f t="shared" si="45"/>
        <v>Ret</v>
      </c>
      <c r="BN44" t="str">
        <f t="shared" si="46"/>
        <v>(0651) 2</v>
      </c>
      <c r="BO44" t="str">
        <f t="shared" si="47"/>
        <v>mail.in</v>
      </c>
      <c r="BP44" t="str">
        <f t="shared" si="48"/>
        <v>ranchi</v>
      </c>
      <c r="BQ44" t="str">
        <f t="shared" si="49"/>
        <v>T043</v>
      </c>
      <c r="BR44" t="str">
        <f t="shared" si="50"/>
        <v xml:space="preserve"> kumar</v>
      </c>
      <c r="BS44" t="str">
        <f t="shared" si="51"/>
        <v>ss-043</v>
      </c>
      <c r="BU44" t="str">
        <f t="shared" si="52"/>
        <v>-9753</v>
      </c>
      <c r="BV44" t="str">
        <f t="shared" si="53"/>
        <v>834001</v>
      </c>
      <c r="BW44" t="str">
        <f t="shared" si="54"/>
        <v xml:space="preserve"> JHARKHAND</v>
      </c>
      <c r="BX44" t="str">
        <f t="shared" si="55"/>
        <v>043</v>
      </c>
      <c r="BY44" t="str">
        <f t="shared" si="56"/>
        <v>sales</v>
      </c>
      <c r="BZ44" t="str">
        <f t="shared" si="57"/>
        <v>glass</v>
      </c>
      <c r="CA44" t="str">
        <f t="shared" si="58"/>
        <v>Nov</v>
      </c>
      <c r="CB44" t="str">
        <f t="shared" si="59"/>
        <v>otect</v>
      </c>
      <c r="CC44">
        <f t="shared" si="60"/>
        <v>13</v>
      </c>
      <c r="CD44">
        <f t="shared" si="61"/>
        <v>12</v>
      </c>
      <c r="CE44">
        <f t="shared" si="62"/>
        <v>20</v>
      </c>
      <c r="CF44">
        <f t="shared" si="63"/>
        <v>7</v>
      </c>
      <c r="CG44">
        <f t="shared" si="64"/>
        <v>38</v>
      </c>
      <c r="CH44">
        <f t="shared" si="65"/>
        <v>7</v>
      </c>
      <c r="CI44">
        <f t="shared" si="66"/>
        <v>7</v>
      </c>
      <c r="CJ44" t="str">
        <f t="shared" si="67"/>
        <v>Not found</v>
      </c>
      <c r="CK44">
        <f t="shared" si="68"/>
        <v>16</v>
      </c>
      <c r="CL44">
        <f t="shared" si="69"/>
        <v>4</v>
      </c>
      <c r="CM44">
        <f t="shared" si="70"/>
        <v>13</v>
      </c>
      <c r="CN44">
        <f t="shared" si="71"/>
        <v>7</v>
      </c>
      <c r="CO44">
        <f t="shared" si="72"/>
        <v>15</v>
      </c>
      <c r="CP44">
        <f t="shared" si="73"/>
        <v>10</v>
      </c>
      <c r="CQ44">
        <f t="shared" si="74"/>
        <v>14</v>
      </c>
      <c r="CR44" t="str">
        <f t="shared" si="75"/>
        <v>not found</v>
      </c>
      <c r="CS44">
        <f t="shared" si="76"/>
        <v>6</v>
      </c>
      <c r="CT44">
        <f t="shared" si="77"/>
        <v>10</v>
      </c>
      <c r="CU44">
        <f t="shared" si="78"/>
        <v>29</v>
      </c>
      <c r="CV44">
        <f t="shared" si="79"/>
        <v>3</v>
      </c>
      <c r="CW44" t="str">
        <f t="shared" si="80"/>
        <v>Customer ID043</v>
      </c>
      <c r="CX44" t="str">
        <f t="shared" si="81"/>
        <v>ashish.kumar[AT]mail.in</v>
      </c>
      <c r="CY44" t="str">
        <f t="shared" si="82"/>
        <v>Product-GLASS-043</v>
      </c>
      <c r="CZ44" t="str">
        <f t="shared" si="83"/>
        <v>prd_glass_043</v>
      </c>
      <c r="DA44" t="str">
        <f t="shared" si="84"/>
        <v>DEPARTMENT-SALES-043</v>
      </c>
      <c r="DB44" t="str">
        <f t="shared" si="85"/>
        <v>ASHISH.KUMAR@MAIL.IN</v>
      </c>
      <c r="DC44" t="str">
        <f t="shared" si="86"/>
        <v>https://www..PROTECTORS.IN</v>
      </c>
      <c r="DD44" t="str">
        <f t="shared" si="87"/>
        <v>ashish/kumar</v>
      </c>
      <c r="DE44" t="str">
        <f t="shared" si="88"/>
        <v>Retail</v>
      </c>
      <c r="DF44" t="str">
        <f t="shared" si="89"/>
        <v>ranchi; JHARKHAND;834001</v>
      </c>
      <c r="DG44" t="str">
        <f t="shared" si="90"/>
        <v>sales MANAGER</v>
      </c>
      <c r="DH44" t="str">
        <f t="shared" si="91"/>
        <v xml:space="preserve"> 0651  2468-9753</v>
      </c>
      <c r="DI44" t="str">
        <f t="shared" si="92"/>
        <v>protector WORLD</v>
      </c>
      <c r="DJ44" t="str">
        <f t="shared" si="93"/>
        <v>WWW.PROTECTORS.IN</v>
      </c>
      <c r="DK44" t="str">
        <f t="shared" si="94"/>
        <v>159  Main  Road</v>
      </c>
      <c r="DL44" t="str">
        <f t="shared" si="95"/>
        <v>ashish.kumar</v>
      </c>
      <c r="DM44" t="str">
        <f t="shared" si="96"/>
        <v>ashish.kumar@protector WORLD.com</v>
      </c>
      <c r="DN44" t="str">
        <f t="shared" si="97"/>
        <v>ashish</v>
      </c>
      <c r="DO44" t="str">
        <f t="shared" si="98"/>
        <v>kumar</v>
      </c>
      <c r="DP44" t="str">
        <f t="shared" si="99"/>
        <v>kumar,ashish</v>
      </c>
      <c r="DQ44" t="str">
        <f t="shared" si="100"/>
        <v>Name has12characters</v>
      </c>
      <c r="DR44" t="str">
        <f t="shared" si="101"/>
        <v>Check Domain</v>
      </c>
      <c r="DS44" t="str">
        <f t="shared" si="102"/>
        <v>(065</v>
      </c>
      <c r="DT44" t="str">
        <f t="shared" si="103"/>
        <v>CUS043</v>
      </c>
      <c r="DU44" t="str">
        <f t="shared" si="104"/>
        <v>akumar</v>
      </c>
      <c r="DV44" t="str">
        <f t="shared" si="105"/>
        <v>prd043</v>
      </c>
      <c r="DW44" t="str">
        <f t="shared" si="106"/>
        <v>(0651) 2468-9753</v>
      </c>
      <c r="DX44" t="str">
        <f t="shared" si="107"/>
        <v>2024</v>
      </c>
      <c r="DY44" t="str">
        <f t="shared" si="108"/>
        <v>a</v>
      </c>
      <c r="DZ44" t="str">
        <f t="shared" si="109"/>
        <v>ashishkumar@protector WORLD.com</v>
      </c>
      <c r="EA44" t="str">
        <f t="shared" si="110"/>
        <v>Retail</v>
      </c>
      <c r="EB44" t="str">
        <f t="shared" si="111"/>
        <v>mail.in</v>
      </c>
      <c r="EC44">
        <f t="shared" si="112"/>
        <v>38</v>
      </c>
      <c r="ED44" t="str">
        <f t="shared" si="113"/>
        <v>ra43</v>
      </c>
      <c r="EE44" t="str">
        <f t="shared" si="114"/>
        <v>ranchi- JHARKHAND(834001)</v>
      </c>
      <c r="EF44" t="str">
        <f t="shared" si="115"/>
        <v>065124689753</v>
      </c>
      <c r="EG44" t="str">
        <f t="shared" si="116"/>
        <v>CUST-043</v>
      </c>
      <c r="EH44" t="str">
        <f t="shared" si="117"/>
        <v>public</v>
      </c>
      <c r="EI44" t="str">
        <f t="shared" si="118"/>
        <v>PRD-043-10Nov24</v>
      </c>
      <c r="EJ44" t="str">
        <f t="shared" si="119"/>
        <v>Retail</v>
      </c>
    </row>
    <row r="45" spans="1:140" x14ac:dyDescent="0.3">
      <c r="A45" t="s">
        <v>576</v>
      </c>
      <c r="B45" t="s">
        <v>1500</v>
      </c>
      <c r="C45" t="s">
        <v>1479</v>
      </c>
      <c r="D45" t="s">
        <v>577</v>
      </c>
      <c r="E45" t="s">
        <v>578</v>
      </c>
      <c r="F45" t="s">
        <v>579</v>
      </c>
      <c r="G45" t="s">
        <v>580</v>
      </c>
      <c r="H45" t="s">
        <v>1648</v>
      </c>
      <c r="I45" t="s">
        <v>1649</v>
      </c>
      <c r="J45">
        <v>781001</v>
      </c>
      <c r="K45" t="str">
        <f t="shared" si="9"/>
        <v>GUWAHATI, Assam,781001</v>
      </c>
      <c r="L45" t="s">
        <v>581</v>
      </c>
      <c r="M45" t="s">
        <v>582</v>
      </c>
      <c r="N45" t="s">
        <v>583</v>
      </c>
      <c r="O45" t="s">
        <v>36</v>
      </c>
      <c r="P45" t="s">
        <v>584</v>
      </c>
      <c r="Q45" t="s">
        <v>585</v>
      </c>
      <c r="R45" t="s">
        <v>586</v>
      </c>
      <c r="S45" t="s">
        <v>587</v>
      </c>
      <c r="T45" t="s">
        <v>588</v>
      </c>
      <c r="U45" t="str">
        <f t="shared" si="120"/>
        <v xml:space="preserve">  REKHA SINGH</v>
      </c>
      <c r="V45" t="str">
        <f t="shared" si="121"/>
        <v>rekha_singh@email.com</v>
      </c>
      <c r="W45" t="str">
        <f t="shared" si="10"/>
        <v>Guwahati</v>
      </c>
      <c r="X45" t="str">
        <f t="shared" si="122"/>
        <v>REKHA singh</v>
      </c>
      <c r="Y45" t="str">
        <f t="shared" si="11"/>
        <v>WHOLESALE</v>
      </c>
      <c r="Z45" t="str">
        <f t="shared" si="12"/>
        <v>cover solutions india</v>
      </c>
      <c r="AA45" t="str">
        <f t="shared" si="13"/>
        <v>Product Manager</v>
      </c>
      <c r="AB45" t="str">
        <f t="shared" si="123"/>
        <v>357 GS Road</v>
      </c>
      <c r="AC45" t="str">
        <f t="shared" si="14"/>
        <v>DEPT-PROD-044</v>
      </c>
      <c r="AD45" t="str">
        <f t="shared" si="15"/>
        <v>Otter Box Protective Cover</v>
      </c>
      <c r="AE45" t="str">
        <f t="shared" si="16"/>
        <v>www.covers.com</v>
      </c>
      <c r="AF45" t="str">
        <f t="shared" si="17"/>
        <v>Drop protection rating query</v>
      </c>
      <c r="AG45" t="str">
        <f t="shared" si="124"/>
        <v>CUST044</v>
      </c>
      <c r="AH45" t="str">
        <f t="shared" si="18"/>
        <v>PRD-COVER-044</v>
      </c>
      <c r="AI45" t="str">
        <f t="shared" si="125"/>
        <v xml:space="preserve">  Rekha Singh</v>
      </c>
      <c r="AJ45" t="str">
        <f t="shared" si="126"/>
        <v>0361-3698741</v>
      </c>
      <c r="AK45" t="str">
        <f t="shared" si="19"/>
        <v>wholesale</v>
      </c>
      <c r="AL45" t="str">
        <f t="shared" si="20"/>
        <v>Cover Solutions India</v>
      </c>
      <c r="AM45" t="str">
        <f t="shared" si="127"/>
        <v>rekha_singh@email.com</v>
      </c>
      <c r="AN45" t="str">
        <f t="shared" si="21"/>
        <v>PRODUCT MANAGER</v>
      </c>
      <c r="AO45" t="str">
        <f t="shared" si="128"/>
        <v>cust044-  REKHA singh</v>
      </c>
      <c r="AP45" t="str">
        <f t="shared" si="22"/>
        <v>REKHA singh</v>
      </c>
      <c r="AQ45" t="str">
        <f t="shared" si="23"/>
        <v>GUWAHATI, Assam</v>
      </c>
      <c r="AR45" t="str">
        <f t="shared" si="24"/>
        <v>PRD-COVER-044:otter BOX protective COVER</v>
      </c>
      <c r="AS45" t="str">
        <f t="shared" si="25"/>
        <v>rekha_singh@email.com|0361-3698741</v>
      </c>
      <c r="AT45" t="str">
        <f t="shared" si="26"/>
        <v>COVER solutions india-Product Manager</v>
      </c>
      <c r="AU45" t="str">
        <f t="shared" si="27"/>
        <v>wholesale 17-Nov-2024</v>
      </c>
      <c r="AV45" t="str">
        <f t="shared" si="28"/>
        <v xml:space="preserve">  357 GS Road  ,GUWAHATI, Assam,781001</v>
      </c>
      <c r="AW45" t="str">
        <f t="shared" si="29"/>
        <v>DEPT-PROD-044_Product Manager</v>
      </c>
      <c r="AX45" t="str">
        <f t="shared" si="30"/>
        <v>Customer ID:cust044</v>
      </c>
      <c r="AY45" t="str">
        <f t="shared" si="31"/>
        <v>Email:rekha_singh@email.com</v>
      </c>
      <c r="AZ45" t="str">
        <f t="shared" si="32"/>
        <v>www.covers.com/contact</v>
      </c>
      <c r="BA45" t="str">
        <f t="shared" si="33"/>
        <v>Order Placed On 17-Nov-2024</v>
      </c>
      <c r="BB45" t="str">
        <f t="shared" si="34"/>
        <v xml:space="preserve">  REKHA singh(wholesale)</v>
      </c>
      <c r="BC45" t="str">
        <f t="shared" si="35"/>
        <v>PRD-COVER-044/otter BOX protective COVER</v>
      </c>
      <c r="BD45" t="str">
        <f t="shared" si="36"/>
        <v>call 0361-3698741</v>
      </c>
      <c r="BE45" t="str">
        <f t="shared" si="37"/>
        <v>COVER solutions india-DEPT-PROD-044</v>
      </c>
      <c r="BF45" t="str">
        <f t="shared" si="38"/>
        <v>cust044-44</v>
      </c>
      <c r="BG45" t="str">
        <f t="shared" si="39"/>
        <v>Customer:   REKHA singh,Type: wholesale</v>
      </c>
      <c r="BH45" t="str">
        <f t="shared" si="40"/>
        <v>GUWAHATI,india</v>
      </c>
      <c r="BI45" t="str">
        <f t="shared" si="41"/>
        <v>cust</v>
      </c>
      <c r="BJ45" t="str">
        <f t="shared" si="42"/>
        <v>rekha_sing</v>
      </c>
      <c r="BK45" t="str">
        <f t="shared" si="43"/>
        <v xml:space="preserve">REKHA </v>
      </c>
      <c r="BL45" t="str">
        <f t="shared" si="44"/>
        <v>PRD-C</v>
      </c>
      <c r="BM45" t="str">
        <f t="shared" si="45"/>
        <v>who</v>
      </c>
      <c r="BN45" t="str">
        <f t="shared" si="46"/>
        <v>0361-369</v>
      </c>
      <c r="BO45" t="str">
        <f t="shared" si="47"/>
        <v>email.com</v>
      </c>
      <c r="BP45" t="str">
        <f t="shared" si="48"/>
        <v>GUWAHATI</v>
      </c>
      <c r="BQ45" t="str">
        <f t="shared" si="49"/>
        <v>t044</v>
      </c>
      <c r="BR45" t="str">
        <f t="shared" si="50"/>
        <v>singh</v>
      </c>
      <c r="BS45" t="str">
        <f t="shared" si="51"/>
        <v>ER-044</v>
      </c>
      <c r="BU45" t="str">
        <f t="shared" si="52"/>
        <v>98741</v>
      </c>
      <c r="BV45" t="str">
        <f t="shared" si="53"/>
        <v>781001</v>
      </c>
      <c r="BW45" t="str">
        <f t="shared" si="54"/>
        <v xml:space="preserve"> Assam</v>
      </c>
      <c r="BX45" t="str">
        <f t="shared" si="55"/>
        <v>044</v>
      </c>
      <c r="BY45" t="str">
        <f t="shared" si="56"/>
        <v>PROD</v>
      </c>
      <c r="BZ45" t="str">
        <f t="shared" si="57"/>
        <v>COVER</v>
      </c>
      <c r="CA45" t="str">
        <f t="shared" si="58"/>
        <v>Nov</v>
      </c>
      <c r="CB45" t="str">
        <f t="shared" si="59"/>
        <v>VER s</v>
      </c>
      <c r="CC45">
        <f t="shared" si="60"/>
        <v>12</v>
      </c>
      <c r="CD45">
        <f t="shared" si="61"/>
        <v>13</v>
      </c>
      <c r="CE45">
        <f t="shared" si="62"/>
        <v>21</v>
      </c>
      <c r="CF45">
        <f t="shared" si="63"/>
        <v>1</v>
      </c>
      <c r="CG45">
        <f t="shared" si="64"/>
        <v>26</v>
      </c>
      <c r="CH45">
        <f t="shared" si="65"/>
        <v>9</v>
      </c>
      <c r="CI45">
        <f t="shared" si="66"/>
        <v>7</v>
      </c>
      <c r="CJ45">
        <f t="shared" si="67"/>
        <v>1</v>
      </c>
      <c r="CK45">
        <f t="shared" si="68"/>
        <v>12</v>
      </c>
      <c r="CL45">
        <f t="shared" si="69"/>
        <v>4</v>
      </c>
      <c r="CM45">
        <f t="shared" si="70"/>
        <v>15</v>
      </c>
      <c r="CN45">
        <f t="shared" si="71"/>
        <v>18</v>
      </c>
      <c r="CO45">
        <f t="shared" si="72"/>
        <v>21</v>
      </c>
      <c r="CP45">
        <f t="shared" si="73"/>
        <v>10</v>
      </c>
      <c r="CQ45">
        <f t="shared" si="74"/>
        <v>13</v>
      </c>
      <c r="CR45" t="str">
        <f t="shared" si="75"/>
        <v>not found</v>
      </c>
      <c r="CS45">
        <f t="shared" si="76"/>
        <v>9</v>
      </c>
      <c r="CT45">
        <f t="shared" si="77"/>
        <v>10</v>
      </c>
      <c r="CU45">
        <f t="shared" si="78"/>
        <v>28</v>
      </c>
      <c r="CV45">
        <f t="shared" si="79"/>
        <v>3</v>
      </c>
      <c r="CW45" t="str">
        <f t="shared" si="80"/>
        <v>Customer ID044</v>
      </c>
      <c r="CX45" t="str">
        <f t="shared" si="81"/>
        <v>rekha_singh[AT]email.com</v>
      </c>
      <c r="CY45" t="str">
        <f t="shared" si="82"/>
        <v>Product-COVER-044</v>
      </c>
      <c r="CZ45" t="str">
        <f t="shared" si="83"/>
        <v>PRD_COVER_044</v>
      </c>
      <c r="DA45" t="str">
        <f t="shared" si="84"/>
        <v>DEPARTMENT-PROD-044</v>
      </c>
      <c r="DB45" t="str">
        <f t="shared" si="85"/>
        <v>REKHA_SINGH@EMAIL.in</v>
      </c>
      <c r="DC45" t="str">
        <f t="shared" si="86"/>
        <v>https://www..COVERS.COM</v>
      </c>
      <c r="DD45" t="str">
        <f t="shared" si="87"/>
        <v>//REKHA/singh</v>
      </c>
      <c r="DE45" t="str">
        <f t="shared" si="88"/>
        <v>wholesale</v>
      </c>
      <c r="DF45" t="str">
        <f t="shared" si="89"/>
        <v>GUWAHATI; Assam;781001</v>
      </c>
      <c r="DG45" t="str">
        <f t="shared" si="90"/>
        <v>Product Manager</v>
      </c>
      <c r="DH45" t="str">
        <f t="shared" si="91"/>
        <v>0361-3698741</v>
      </c>
      <c r="DI45" t="str">
        <f t="shared" si="92"/>
        <v>COVER solutions india</v>
      </c>
      <c r="DJ45" t="str">
        <f t="shared" si="93"/>
        <v>www.covers.com</v>
      </c>
      <c r="DK45" t="str">
        <f t="shared" si="94"/>
        <v xml:space="preserve">    357  GS  Road    </v>
      </c>
      <c r="DL45" t="str">
        <f t="shared" si="95"/>
        <v>rekha_singh</v>
      </c>
      <c r="DM45" t="str">
        <f t="shared" si="96"/>
        <v>REKHA.singh@COVER solutions india.com</v>
      </c>
      <c r="DN45" t="str">
        <f t="shared" si="97"/>
        <v>REKHA</v>
      </c>
      <c r="DO45" t="str">
        <f t="shared" si="98"/>
        <v>singh</v>
      </c>
      <c r="DP45" t="str">
        <f t="shared" si="99"/>
        <v>singh,REKHA</v>
      </c>
      <c r="DQ45" t="str">
        <f t="shared" si="100"/>
        <v>Name has11characters</v>
      </c>
      <c r="DR45" t="str">
        <f t="shared" si="101"/>
        <v>Valid</v>
      </c>
      <c r="DS45" t="str">
        <f t="shared" si="102"/>
        <v>0361</v>
      </c>
      <c r="DT45" t="str">
        <f t="shared" si="103"/>
        <v>cus044</v>
      </c>
      <c r="DU45" t="str">
        <f t="shared" si="104"/>
        <v>Rsingh</v>
      </c>
      <c r="DV45" t="str">
        <f t="shared" si="105"/>
        <v>PRD044</v>
      </c>
      <c r="DW45" t="str">
        <f t="shared" si="106"/>
        <v>0361-3698741</v>
      </c>
      <c r="DX45" t="str">
        <f t="shared" si="107"/>
        <v>2024</v>
      </c>
      <c r="DY45" t="str">
        <f t="shared" si="108"/>
        <v>R</v>
      </c>
      <c r="DZ45" t="str">
        <f t="shared" si="109"/>
        <v>REKHAsingh@COVER solutions india.com</v>
      </c>
      <c r="EA45" t="str">
        <f t="shared" si="110"/>
        <v>Wholesale</v>
      </c>
      <c r="EB45" t="str">
        <f t="shared" si="111"/>
        <v>email.com</v>
      </c>
      <c r="EC45">
        <f t="shared" si="112"/>
        <v>26</v>
      </c>
      <c r="ED45" t="str">
        <f t="shared" si="113"/>
        <v>GU44</v>
      </c>
      <c r="EE45" t="str">
        <f t="shared" si="114"/>
        <v>GUWAHATI- Assam(781001)</v>
      </c>
      <c r="EF45" t="str">
        <f t="shared" si="115"/>
        <v>03613698741</v>
      </c>
      <c r="EG45" t="str">
        <f t="shared" si="116"/>
        <v>CUST-044</v>
      </c>
      <c r="EH45" t="str">
        <f t="shared" si="117"/>
        <v>public</v>
      </c>
      <c r="EI45" t="str">
        <f t="shared" si="118"/>
        <v>PRD-044-17Nov24</v>
      </c>
      <c r="EJ45" t="str">
        <f t="shared" si="119"/>
        <v>Wholesale</v>
      </c>
    </row>
    <row r="46" spans="1:140" x14ac:dyDescent="0.3">
      <c r="A46" t="s">
        <v>589</v>
      </c>
      <c r="B46" t="s">
        <v>1501</v>
      </c>
      <c r="C46" t="s">
        <v>1502</v>
      </c>
      <c r="D46" t="s">
        <v>590</v>
      </c>
      <c r="E46" t="s">
        <v>591</v>
      </c>
      <c r="F46" t="s">
        <v>592</v>
      </c>
      <c r="G46" t="s">
        <v>593</v>
      </c>
      <c r="H46" t="s">
        <v>1650</v>
      </c>
      <c r="I46" t="s">
        <v>1651</v>
      </c>
      <c r="J46">
        <v>248001</v>
      </c>
      <c r="K46" t="str">
        <f t="shared" si="9"/>
        <v>Dehradun, UTTARAKHAND,248001</v>
      </c>
      <c r="L46" t="s">
        <v>594</v>
      </c>
      <c r="M46" t="s">
        <v>595</v>
      </c>
      <c r="N46" t="s">
        <v>596</v>
      </c>
      <c r="O46" t="s">
        <v>132</v>
      </c>
      <c r="P46" t="s">
        <v>597</v>
      </c>
      <c r="Q46" t="s">
        <v>598</v>
      </c>
      <c r="R46" t="s">
        <v>599</v>
      </c>
      <c r="S46" t="s">
        <v>600</v>
      </c>
      <c r="T46" t="s">
        <v>601</v>
      </c>
      <c r="U46" t="str">
        <f t="shared" si="120"/>
        <v xml:space="preserve">MOHIT AGARWAL  </v>
      </c>
      <c r="V46" t="str">
        <f t="shared" si="121"/>
        <v>mohit.agarwal@company.com</v>
      </c>
      <c r="W46" t="str">
        <f t="shared" si="10"/>
        <v>Dehradun</v>
      </c>
      <c r="X46" t="str">
        <f t="shared" si="122"/>
        <v>mohit AGARWAL</v>
      </c>
      <c r="Y46" t="str">
        <f t="shared" si="11"/>
        <v>CORPORATE</v>
      </c>
      <c r="Z46" t="str">
        <f t="shared" si="12"/>
        <v xml:space="preserve">  stylus world pro  </v>
      </c>
      <c r="AA46" t="str">
        <f t="shared" si="13"/>
        <v>Creative Director</v>
      </c>
      <c r="AB46" t="str">
        <f t="shared" si="123"/>
        <v>753 Rajpur Road</v>
      </c>
      <c r="AC46" t="str">
        <f t="shared" si="14"/>
        <v>DEPT-CRE-045</v>
      </c>
      <c r="AD46" t="str">
        <f t="shared" si="15"/>
        <v>Wacom Stylus Pen</v>
      </c>
      <c r="AE46" t="str">
        <f t="shared" si="16"/>
        <v>https://www.stylus.in</v>
      </c>
      <c r="AF46" t="str">
        <f t="shared" si="17"/>
        <v>Pressure sensitivity check</v>
      </c>
      <c r="AG46" t="str">
        <f t="shared" si="124"/>
        <v>CUST045</v>
      </c>
      <c r="AH46" t="str">
        <f t="shared" si="18"/>
        <v>PRD-PEN-045</v>
      </c>
      <c r="AI46" t="str">
        <f t="shared" si="125"/>
        <v xml:space="preserve">Mohit Agarwal  </v>
      </c>
      <c r="AJ46" t="str">
        <f t="shared" si="126"/>
        <v>+91-9988445566</v>
      </c>
      <c r="AK46" t="str">
        <f t="shared" si="19"/>
        <v>corporate</v>
      </c>
      <c r="AL46" t="str">
        <f t="shared" si="20"/>
        <v>Stylus World Pro</v>
      </c>
      <c r="AM46" t="str">
        <f t="shared" si="127"/>
        <v>mohit.agarwal@company.com</v>
      </c>
      <c r="AN46" t="str">
        <f t="shared" si="21"/>
        <v>CREATIVE DIRECTOR</v>
      </c>
      <c r="AO46" t="str">
        <f t="shared" si="128"/>
        <v xml:space="preserve">Cust045-mohit AGARWAL  </v>
      </c>
      <c r="AP46" t="str">
        <f t="shared" si="22"/>
        <v>mohit AGARWAL</v>
      </c>
      <c r="AQ46" t="str">
        <f t="shared" si="23"/>
        <v>Dehradun, UTTARAKHAND</v>
      </c>
      <c r="AR46" t="str">
        <f t="shared" si="24"/>
        <v>prd-pen-045:WACOM stylus PEN</v>
      </c>
      <c r="AS46" t="str">
        <f t="shared" si="25"/>
        <v>MOHIT.AGARWAL@COMPANY.COM|+91-9988445566</v>
      </c>
      <c r="AT46" t="str">
        <f t="shared" si="26"/>
        <v xml:space="preserve">  STYLUS world PRO  -CREATIVE DIRECTOR</v>
      </c>
      <c r="AU46" t="str">
        <f t="shared" si="27"/>
        <v>Corporate 24-Nov-2024</v>
      </c>
      <c r="AV46" t="str">
        <f t="shared" si="28"/>
        <v>753 Rajpur Road,Dehradun, UTTARAKHAND,248001</v>
      </c>
      <c r="AW46" t="str">
        <f t="shared" si="29"/>
        <v>dept-cre-045_CREATIVE DIRECTOR</v>
      </c>
      <c r="AX46" t="str">
        <f t="shared" si="30"/>
        <v>Customer ID:Cust045</v>
      </c>
      <c r="AY46" t="str">
        <f t="shared" si="31"/>
        <v>Email:MOHIT.AGARWAL@COMPANY.COM</v>
      </c>
      <c r="AZ46" t="str">
        <f t="shared" si="32"/>
        <v>https://www.stylus.in/contact</v>
      </c>
      <c r="BA46" t="str">
        <f t="shared" si="33"/>
        <v>Order Placed On 24-Nov-2024</v>
      </c>
      <c r="BB46" t="str">
        <f t="shared" si="34"/>
        <v>mohit AGARWAL  (Corporate)</v>
      </c>
      <c r="BC46" t="str">
        <f t="shared" si="35"/>
        <v>prd-pen-045/WACOM stylus PEN</v>
      </c>
      <c r="BD46" t="str">
        <f t="shared" si="36"/>
        <v>call +91-9988445566</v>
      </c>
      <c r="BE46" t="str">
        <f t="shared" si="37"/>
        <v xml:space="preserve">  STYLUS world PRO  -dept-cre-045</v>
      </c>
      <c r="BF46" t="str">
        <f t="shared" si="38"/>
        <v>Cust045-45</v>
      </c>
      <c r="BG46" t="str">
        <f t="shared" si="39"/>
        <v>Customer: mohit AGARWAL  ,Type: Corporate</v>
      </c>
      <c r="BH46" t="str">
        <f t="shared" si="40"/>
        <v>Dehradun,india</v>
      </c>
      <c r="BI46" t="str">
        <f t="shared" si="41"/>
        <v>Cust</v>
      </c>
      <c r="BJ46" t="str">
        <f t="shared" si="42"/>
        <v>MOHIT.AGAR</v>
      </c>
      <c r="BK46" t="str">
        <f t="shared" si="43"/>
        <v xml:space="preserve">mohit </v>
      </c>
      <c r="BL46" t="str">
        <f t="shared" si="44"/>
        <v>prd-p</v>
      </c>
      <c r="BM46" t="str">
        <f t="shared" si="45"/>
        <v>Cor</v>
      </c>
      <c r="BN46" t="str">
        <f t="shared" si="46"/>
        <v>+91-9988</v>
      </c>
      <c r="BO46" t="str">
        <f t="shared" si="47"/>
        <v>COMPANY.COM</v>
      </c>
      <c r="BP46" t="str">
        <f t="shared" si="48"/>
        <v>Dehradun</v>
      </c>
      <c r="BQ46" t="str">
        <f t="shared" si="49"/>
        <v>t045</v>
      </c>
      <c r="BR46" t="str">
        <f t="shared" si="50"/>
        <v>ARWAL</v>
      </c>
      <c r="BS46" t="str">
        <f t="shared" si="51"/>
        <v>en-045</v>
      </c>
      <c r="BU46" t="str">
        <f t="shared" si="52"/>
        <v>45566</v>
      </c>
      <c r="BV46" t="str">
        <f t="shared" si="53"/>
        <v>248001</v>
      </c>
      <c r="BW46" t="str">
        <f t="shared" si="54"/>
        <v xml:space="preserve"> UTTARAKHAND</v>
      </c>
      <c r="BX46" t="str">
        <f t="shared" si="55"/>
        <v>045</v>
      </c>
      <c r="BY46" t="str">
        <f t="shared" si="56"/>
        <v>cre</v>
      </c>
      <c r="BZ46" t="str">
        <f t="shared" si="57"/>
        <v>pen</v>
      </c>
      <c r="CA46" t="str">
        <f t="shared" si="58"/>
        <v>Nov</v>
      </c>
      <c r="CB46" t="str">
        <f t="shared" si="59"/>
        <v>STYLU</v>
      </c>
      <c r="CC46">
        <f t="shared" si="60"/>
        <v>14</v>
      </c>
      <c r="CD46">
        <f t="shared" si="61"/>
        <v>15</v>
      </c>
      <c r="CE46">
        <f t="shared" si="62"/>
        <v>25</v>
      </c>
      <c r="CF46">
        <f t="shared" si="63"/>
        <v>6</v>
      </c>
      <c r="CG46">
        <f t="shared" si="64"/>
        <v>16</v>
      </c>
      <c r="CH46">
        <f t="shared" si="65"/>
        <v>9</v>
      </c>
      <c r="CI46">
        <f t="shared" si="66"/>
        <v>7</v>
      </c>
      <c r="CJ46">
        <f t="shared" si="67"/>
        <v>9</v>
      </c>
      <c r="CK46">
        <f t="shared" si="68"/>
        <v>14</v>
      </c>
      <c r="CL46">
        <f t="shared" si="69"/>
        <v>4</v>
      </c>
      <c r="CM46">
        <f t="shared" si="70"/>
        <v>15</v>
      </c>
      <c r="CN46">
        <f t="shared" si="71"/>
        <v>6</v>
      </c>
      <c r="CO46">
        <f t="shared" si="72"/>
        <v>16</v>
      </c>
      <c r="CP46">
        <f t="shared" si="73"/>
        <v>8</v>
      </c>
      <c r="CQ46">
        <f t="shared" si="74"/>
        <v>12</v>
      </c>
      <c r="CR46">
        <f t="shared" si="75"/>
        <v>7</v>
      </c>
      <c r="CS46">
        <f t="shared" si="76"/>
        <v>9</v>
      </c>
      <c r="CT46">
        <f t="shared" si="77"/>
        <v>8</v>
      </c>
      <c r="CU46">
        <f t="shared" si="78"/>
        <v>26</v>
      </c>
      <c r="CV46">
        <f t="shared" si="79"/>
        <v>3</v>
      </c>
      <c r="CW46" t="str">
        <f t="shared" si="80"/>
        <v>Customer ID045</v>
      </c>
      <c r="CX46" t="str">
        <f t="shared" si="81"/>
        <v>MOHIT.AGARWAL[AT]COMPANY.COM</v>
      </c>
      <c r="CY46" t="str">
        <f t="shared" si="82"/>
        <v>Product-PEN-045</v>
      </c>
      <c r="CZ46" t="str">
        <f t="shared" si="83"/>
        <v>prd_pen_045</v>
      </c>
      <c r="DA46" t="str">
        <f t="shared" si="84"/>
        <v>DEPARTMENT-CRE-045</v>
      </c>
      <c r="DB46" t="str">
        <f t="shared" si="85"/>
        <v>MOHIT.AGARWAL@COMPANY.in</v>
      </c>
      <c r="DC46" t="str">
        <f t="shared" si="86"/>
        <v>HTTPS://https://www..STYLUS.IN</v>
      </c>
      <c r="DD46" t="str">
        <f t="shared" si="87"/>
        <v>mohit/AGARWAL//</v>
      </c>
      <c r="DE46" t="str">
        <f t="shared" si="88"/>
        <v>Corporate</v>
      </c>
      <c r="DF46" t="str">
        <f t="shared" si="89"/>
        <v>Dehradun; UTTARAKHAND;248001</v>
      </c>
      <c r="DG46" t="str">
        <f t="shared" si="90"/>
        <v>CREATIVE DIRECTOR</v>
      </c>
      <c r="DH46" t="str">
        <f t="shared" si="91"/>
        <v>+91-9988445566</v>
      </c>
      <c r="DI46" t="str">
        <f t="shared" si="92"/>
        <v xml:space="preserve">  STYLUS world PRO  </v>
      </c>
      <c r="DJ46" t="str">
        <f t="shared" si="93"/>
        <v>https:://www.stylus.in</v>
      </c>
      <c r="DK46" t="str">
        <f t="shared" si="94"/>
        <v>753  Rajpur  Road</v>
      </c>
      <c r="DL46" t="str">
        <f t="shared" si="95"/>
        <v>MOHIT.AGARWAL</v>
      </c>
      <c r="DM46" t="str">
        <f t="shared" si="96"/>
        <v>mohit.AGARWAL@  STYLUS world PRO  .com</v>
      </c>
      <c r="DN46" t="str">
        <f t="shared" si="97"/>
        <v>mohit</v>
      </c>
      <c r="DO46" t="str">
        <f t="shared" si="98"/>
        <v>AGARWAL</v>
      </c>
      <c r="DP46" t="str">
        <f t="shared" si="99"/>
        <v>AGARWAL,mohit</v>
      </c>
      <c r="DQ46" t="str">
        <f t="shared" si="100"/>
        <v>Name has13characters</v>
      </c>
      <c r="DR46" t="str">
        <f t="shared" si="101"/>
        <v>Valid</v>
      </c>
      <c r="DS46" t="str">
        <f t="shared" si="102"/>
        <v>+91-</v>
      </c>
      <c r="DT46" t="str">
        <f t="shared" si="103"/>
        <v>Cus045</v>
      </c>
      <c r="DU46" t="str">
        <f t="shared" si="104"/>
        <v>magarwal</v>
      </c>
      <c r="DV46" t="str">
        <f t="shared" si="105"/>
        <v>prd045</v>
      </c>
      <c r="DW46" t="str">
        <f t="shared" si="106"/>
        <v>+91-9988445566</v>
      </c>
      <c r="DX46" t="str">
        <f t="shared" si="107"/>
        <v>2024</v>
      </c>
      <c r="DY46" t="str">
        <f t="shared" si="108"/>
        <v>m</v>
      </c>
      <c r="DZ46" t="str">
        <f t="shared" si="109"/>
        <v>mohitAGARWAL@  STYLUS world PRO  .com</v>
      </c>
      <c r="EA46" t="str">
        <f t="shared" si="110"/>
        <v/>
      </c>
      <c r="EB46" t="str">
        <f t="shared" si="111"/>
        <v>COMPANY.COM</v>
      </c>
      <c r="EC46">
        <f t="shared" si="112"/>
        <v>16</v>
      </c>
      <c r="ED46" t="str">
        <f t="shared" si="113"/>
        <v>De45</v>
      </c>
      <c r="EE46" t="str">
        <f t="shared" si="114"/>
        <v>Dehradun- UTTARAKHAND(248001)</v>
      </c>
      <c r="EF46" t="str">
        <f t="shared" si="115"/>
        <v>919988445566</v>
      </c>
      <c r="EG46" t="str">
        <f t="shared" si="116"/>
        <v>CUST-045</v>
      </c>
      <c r="EH46" t="str">
        <f t="shared" si="117"/>
        <v>public</v>
      </c>
      <c r="EI46" t="str">
        <f t="shared" si="118"/>
        <v>PRD-045-24Nov24</v>
      </c>
      <c r="EJ46" t="str">
        <f t="shared" si="119"/>
        <v>Corporate</v>
      </c>
    </row>
    <row r="47" spans="1:140" x14ac:dyDescent="0.3">
      <c r="A47" t="s">
        <v>602</v>
      </c>
      <c r="B47" t="s">
        <v>1503</v>
      </c>
      <c r="C47" t="s">
        <v>1504</v>
      </c>
      <c r="D47" t="s">
        <v>603</v>
      </c>
      <c r="E47" t="s">
        <v>604</v>
      </c>
      <c r="F47" t="s">
        <v>605</v>
      </c>
      <c r="G47" t="s">
        <v>606</v>
      </c>
      <c r="H47" t="s">
        <v>1652</v>
      </c>
      <c r="I47" t="s">
        <v>1586</v>
      </c>
      <c r="J47">
        <v>575001</v>
      </c>
      <c r="K47" t="str">
        <f t="shared" si="9"/>
        <v>mangalore, KARNATAKA,575001</v>
      </c>
      <c r="L47" t="s">
        <v>607</v>
      </c>
      <c r="M47" t="s">
        <v>608</v>
      </c>
      <c r="N47" t="s">
        <v>609</v>
      </c>
      <c r="O47" t="s">
        <v>78</v>
      </c>
      <c r="P47" t="s">
        <v>610</v>
      </c>
      <c r="Q47" t="s">
        <v>611</v>
      </c>
      <c r="R47" t="s">
        <v>612</v>
      </c>
      <c r="S47" t="s">
        <v>613</v>
      </c>
      <c r="T47" t="s">
        <v>614</v>
      </c>
      <c r="U47" t="str">
        <f t="shared" si="120"/>
        <v>KAMINI RAO</v>
      </c>
      <c r="V47" t="str">
        <f t="shared" si="121"/>
        <v>kamini.rao@mail.in</v>
      </c>
      <c r="W47" t="str">
        <f t="shared" si="10"/>
        <v>Mangalore</v>
      </c>
      <c r="X47" t="str">
        <f t="shared" si="122"/>
        <v>kamini rao</v>
      </c>
      <c r="Y47" t="str">
        <f t="shared" si="11"/>
        <v>RETAIL</v>
      </c>
      <c r="Z47" t="str">
        <f t="shared" si="12"/>
        <v>graphics solutions</v>
      </c>
      <c r="AA47" t="str">
        <f t="shared" si="13"/>
        <v>Designer</v>
      </c>
      <c r="AB47" t="str">
        <f t="shared" si="123"/>
        <v>951 Hampankatta</v>
      </c>
      <c r="AC47" t="str">
        <f t="shared" si="14"/>
        <v>DEPT-DESIGN-046</v>
      </c>
      <c r="AD47" t="str">
        <f t="shared" si="15"/>
        <v>Huion Graphics Tablet</v>
      </c>
      <c r="AE47" t="str">
        <f t="shared" si="16"/>
        <v>www.graphics.com</v>
      </c>
      <c r="AF47" t="str">
        <f t="shared" si="17"/>
        <v>Software compatibility</v>
      </c>
      <c r="AG47" t="str">
        <f t="shared" si="124"/>
        <v>CUST046</v>
      </c>
      <c r="AH47" t="str">
        <f t="shared" si="18"/>
        <v>PRD-DRAW-046</v>
      </c>
      <c r="AI47" t="str">
        <f t="shared" si="125"/>
        <v>Kamini Rao</v>
      </c>
      <c r="AJ47" t="str">
        <f t="shared" si="126"/>
        <v>(0824) 9876-0123</v>
      </c>
      <c r="AK47" t="str">
        <f t="shared" si="19"/>
        <v>retail</v>
      </c>
      <c r="AL47" t="str">
        <f t="shared" si="20"/>
        <v>Graphics Solutions</v>
      </c>
      <c r="AM47" t="str">
        <f t="shared" si="127"/>
        <v>kamini.rao@mail.in</v>
      </c>
      <c r="AN47" t="str">
        <f t="shared" si="21"/>
        <v>DESIGNER</v>
      </c>
      <c r="AO47" t="str">
        <f t="shared" si="128"/>
        <v>CUST046-kamini rao</v>
      </c>
      <c r="AP47" t="str">
        <f t="shared" si="22"/>
        <v>kamini rao</v>
      </c>
      <c r="AQ47" t="str">
        <f t="shared" si="23"/>
        <v>mangalore, KARNATAKA</v>
      </c>
      <c r="AR47" t="str">
        <f t="shared" si="24"/>
        <v>prd-draw-046:HUION graphics TABLET</v>
      </c>
      <c r="AS47" t="str">
        <f t="shared" si="25"/>
        <v>kamini.rao@mail.in|(0824) 9876-0123</v>
      </c>
      <c r="AT47" t="str">
        <f t="shared" si="26"/>
        <v>graphics SOLUTIONS-Designer</v>
      </c>
      <c r="AU47" t="str">
        <f t="shared" si="27"/>
        <v>retail 01-Dec-2024</v>
      </c>
      <c r="AV47" t="str">
        <f t="shared" si="28"/>
        <v>951 Hampankatta,mangalore, KARNATAKA,575001</v>
      </c>
      <c r="AW47" t="str">
        <f t="shared" si="29"/>
        <v>dept-design-046_Designer</v>
      </c>
      <c r="AX47" t="str">
        <f t="shared" si="30"/>
        <v>Customer ID:CUST046</v>
      </c>
      <c r="AY47" t="str">
        <f t="shared" si="31"/>
        <v>Email:kamini.rao@mail.in</v>
      </c>
      <c r="AZ47" t="str">
        <f t="shared" si="32"/>
        <v>WWW.GRAPHICS.COM/contact</v>
      </c>
      <c r="BA47" t="str">
        <f t="shared" si="33"/>
        <v>Order Placed On 01-Dec-2024</v>
      </c>
      <c r="BB47" t="str">
        <f t="shared" si="34"/>
        <v>kamini rao(retail)</v>
      </c>
      <c r="BC47" t="str">
        <f t="shared" si="35"/>
        <v>prd-draw-046/HUION graphics TABLET</v>
      </c>
      <c r="BD47" t="str">
        <f t="shared" si="36"/>
        <v>call (0824) 9876-0123</v>
      </c>
      <c r="BE47" t="str">
        <f t="shared" si="37"/>
        <v>graphics SOLUTIONS-dept-design-046</v>
      </c>
      <c r="BF47" t="str">
        <f t="shared" si="38"/>
        <v>CUST046-46</v>
      </c>
      <c r="BG47" t="str">
        <f t="shared" si="39"/>
        <v>Customer: kamini rao,Type: retail</v>
      </c>
      <c r="BH47" t="str">
        <f t="shared" si="40"/>
        <v>mangalore,india</v>
      </c>
      <c r="BI47" t="str">
        <f t="shared" si="41"/>
        <v>CUST</v>
      </c>
      <c r="BJ47" t="str">
        <f t="shared" si="42"/>
        <v>kamini.rao</v>
      </c>
      <c r="BK47" t="str">
        <f t="shared" si="43"/>
        <v xml:space="preserve">kamini </v>
      </c>
      <c r="BL47" t="str">
        <f t="shared" si="44"/>
        <v>prd-d</v>
      </c>
      <c r="BM47" t="str">
        <f t="shared" si="45"/>
        <v>ret</v>
      </c>
      <c r="BN47" t="str">
        <f t="shared" si="46"/>
        <v>(0824) 9</v>
      </c>
      <c r="BO47" t="str">
        <f t="shared" si="47"/>
        <v>mail.in</v>
      </c>
      <c r="BP47" t="str">
        <f t="shared" si="48"/>
        <v>mangalore</v>
      </c>
      <c r="BQ47" t="str">
        <f t="shared" si="49"/>
        <v>T046</v>
      </c>
      <c r="BR47" t="str">
        <f t="shared" si="50"/>
        <v>ni rao</v>
      </c>
      <c r="BS47" t="str">
        <f t="shared" si="51"/>
        <v>aw-046</v>
      </c>
      <c r="BU47" t="str">
        <f t="shared" si="52"/>
        <v>-0123</v>
      </c>
      <c r="BV47" t="str">
        <f t="shared" si="53"/>
        <v>575001</v>
      </c>
      <c r="BW47" t="str">
        <f t="shared" si="54"/>
        <v xml:space="preserve"> KARNATAKA</v>
      </c>
      <c r="BX47" t="str">
        <f t="shared" si="55"/>
        <v>046</v>
      </c>
      <c r="BY47" t="str">
        <f t="shared" si="56"/>
        <v>design</v>
      </c>
      <c r="BZ47" t="str">
        <f t="shared" si="57"/>
        <v>draw</v>
      </c>
      <c r="CA47" t="str">
        <f t="shared" si="58"/>
        <v>Dec</v>
      </c>
      <c r="CB47" t="str">
        <f t="shared" si="59"/>
        <v>aphic</v>
      </c>
      <c r="CC47">
        <f t="shared" si="60"/>
        <v>11</v>
      </c>
      <c r="CD47">
        <f t="shared" si="61"/>
        <v>10</v>
      </c>
      <c r="CE47">
        <f t="shared" si="62"/>
        <v>18</v>
      </c>
      <c r="CF47">
        <f t="shared" si="63"/>
        <v>7</v>
      </c>
      <c r="CG47">
        <f t="shared" si="64"/>
        <v>21</v>
      </c>
      <c r="CH47">
        <f t="shared" si="65"/>
        <v>10</v>
      </c>
      <c r="CI47">
        <f t="shared" si="66"/>
        <v>7</v>
      </c>
      <c r="CJ47" t="str">
        <f t="shared" si="67"/>
        <v>Not found</v>
      </c>
      <c r="CK47">
        <f t="shared" si="68"/>
        <v>16</v>
      </c>
      <c r="CL47">
        <f t="shared" si="69"/>
        <v>4</v>
      </c>
      <c r="CM47">
        <f t="shared" si="70"/>
        <v>15</v>
      </c>
      <c r="CN47">
        <f t="shared" si="71"/>
        <v>7</v>
      </c>
      <c r="CO47">
        <f t="shared" si="72"/>
        <v>18</v>
      </c>
      <c r="CP47">
        <f t="shared" si="73"/>
        <v>9</v>
      </c>
      <c r="CQ47">
        <f t="shared" si="74"/>
        <v>15</v>
      </c>
      <c r="CR47" t="str">
        <f t="shared" si="75"/>
        <v>not found</v>
      </c>
      <c r="CS47">
        <f t="shared" si="76"/>
        <v>6</v>
      </c>
      <c r="CT47">
        <f t="shared" si="77"/>
        <v>9</v>
      </c>
      <c r="CU47">
        <f t="shared" si="78"/>
        <v>26</v>
      </c>
      <c r="CV47">
        <f t="shared" si="79"/>
        <v>3</v>
      </c>
      <c r="CW47" t="str">
        <f t="shared" si="80"/>
        <v>Customer ID046</v>
      </c>
      <c r="CX47" t="str">
        <f t="shared" si="81"/>
        <v>kamini.rao[AT]mail.in</v>
      </c>
      <c r="CY47" t="str">
        <f t="shared" si="82"/>
        <v>Product-DRAW-046</v>
      </c>
      <c r="CZ47" t="str">
        <f t="shared" si="83"/>
        <v>prd_draw_046</v>
      </c>
      <c r="DA47" t="str">
        <f t="shared" si="84"/>
        <v>DEPARTMENT-DESIGN-046</v>
      </c>
      <c r="DB47" t="str">
        <f t="shared" si="85"/>
        <v>KAMINI.RAO@MAIL.IN</v>
      </c>
      <c r="DC47" t="str">
        <f t="shared" si="86"/>
        <v>https://www..GRAPHICS.COM</v>
      </c>
      <c r="DD47" t="str">
        <f t="shared" si="87"/>
        <v>kamini/rao</v>
      </c>
      <c r="DE47" t="str">
        <f t="shared" si="88"/>
        <v>RETAIL CUSTOMER</v>
      </c>
      <c r="DF47" t="str">
        <f t="shared" si="89"/>
        <v>mangalore; KARNATAKA;575001</v>
      </c>
      <c r="DG47" t="str">
        <f t="shared" si="90"/>
        <v>Designer</v>
      </c>
      <c r="DH47" t="str">
        <f t="shared" si="91"/>
        <v xml:space="preserve"> 0824  9876-0123</v>
      </c>
      <c r="DI47" t="str">
        <f t="shared" si="92"/>
        <v>graphics SOLUTIONS</v>
      </c>
      <c r="DJ47" t="str">
        <f t="shared" si="93"/>
        <v>WWW.GRAPHICS.COM</v>
      </c>
      <c r="DK47" t="str">
        <f t="shared" si="94"/>
        <v>951  Hampankatta</v>
      </c>
      <c r="DL47" t="str">
        <f t="shared" si="95"/>
        <v>kamini.rao</v>
      </c>
      <c r="DM47" t="str">
        <f t="shared" si="96"/>
        <v>kamini.rao@graphics SOLUTIONS.com</v>
      </c>
      <c r="DN47" t="str">
        <f t="shared" si="97"/>
        <v>kamini</v>
      </c>
      <c r="DO47" t="str">
        <f t="shared" si="98"/>
        <v>rao</v>
      </c>
      <c r="DP47" t="str">
        <f t="shared" si="99"/>
        <v>rao,kamini</v>
      </c>
      <c r="DQ47" t="str">
        <f t="shared" si="100"/>
        <v>Name has10characters</v>
      </c>
      <c r="DR47" t="str">
        <f t="shared" si="101"/>
        <v>Check Domain</v>
      </c>
      <c r="DS47" t="str">
        <f t="shared" si="102"/>
        <v>(082</v>
      </c>
      <c r="DT47" t="str">
        <f t="shared" si="103"/>
        <v>CUS046</v>
      </c>
      <c r="DU47" t="str">
        <f t="shared" si="104"/>
        <v>krao</v>
      </c>
      <c r="DV47" t="str">
        <f t="shared" si="105"/>
        <v>prd046</v>
      </c>
      <c r="DW47" t="str">
        <f t="shared" si="106"/>
        <v>(0824) 9876-0123</v>
      </c>
      <c r="DX47" t="str">
        <f t="shared" si="107"/>
        <v>2024</v>
      </c>
      <c r="DY47" t="str">
        <f t="shared" si="108"/>
        <v>k</v>
      </c>
      <c r="DZ47" t="str">
        <f t="shared" si="109"/>
        <v>kaminirao@graphics SOLUTIONS.com</v>
      </c>
      <c r="EA47" t="str">
        <f t="shared" si="110"/>
        <v>Retail</v>
      </c>
      <c r="EB47" t="str">
        <f t="shared" si="111"/>
        <v>mail.in</v>
      </c>
      <c r="EC47">
        <f t="shared" si="112"/>
        <v>21</v>
      </c>
      <c r="ED47" t="str">
        <f t="shared" si="113"/>
        <v>ma46</v>
      </c>
      <c r="EE47" t="str">
        <f t="shared" si="114"/>
        <v>mangalore- KARNATAKA(575001)</v>
      </c>
      <c r="EF47" t="str">
        <f t="shared" si="115"/>
        <v>082498760123</v>
      </c>
      <c r="EG47" t="str">
        <f t="shared" si="116"/>
        <v>CUST-046</v>
      </c>
      <c r="EH47" t="str">
        <f t="shared" si="117"/>
        <v>public</v>
      </c>
      <c r="EI47" t="str">
        <f t="shared" si="118"/>
        <v>PRD-046-01Dec24</v>
      </c>
      <c r="EJ47" t="str">
        <f t="shared" si="119"/>
        <v>Retail</v>
      </c>
    </row>
    <row r="48" spans="1:140" x14ac:dyDescent="0.3">
      <c r="A48" t="s">
        <v>615</v>
      </c>
      <c r="B48" t="s">
        <v>1505</v>
      </c>
      <c r="C48" t="s">
        <v>1444</v>
      </c>
      <c r="D48" t="s">
        <v>616</v>
      </c>
      <c r="E48" t="s">
        <v>617</v>
      </c>
      <c r="F48" t="s">
        <v>618</v>
      </c>
      <c r="G48" t="s">
        <v>619</v>
      </c>
      <c r="H48" t="s">
        <v>1653</v>
      </c>
      <c r="I48" t="s">
        <v>1654</v>
      </c>
      <c r="J48">
        <v>171001</v>
      </c>
      <c r="K48" t="str">
        <f t="shared" si="9"/>
        <v>SHIMLA, Himachal Pradesh,171001</v>
      </c>
      <c r="L48" t="s">
        <v>620</v>
      </c>
      <c r="M48" t="s">
        <v>621</v>
      </c>
      <c r="N48" t="s">
        <v>622</v>
      </c>
      <c r="O48" t="s">
        <v>92</v>
      </c>
      <c r="P48" t="s">
        <v>623</v>
      </c>
      <c r="Q48" t="s">
        <v>624</v>
      </c>
      <c r="R48" t="s">
        <v>625</v>
      </c>
      <c r="S48" t="s">
        <v>626</v>
      </c>
      <c r="T48" t="s">
        <v>627</v>
      </c>
      <c r="U48" t="str">
        <f t="shared" si="120"/>
        <v xml:space="preserve">  AJAY MALHOTRA</v>
      </c>
      <c r="V48" t="str">
        <f t="shared" si="121"/>
        <v>ajay_malhotra@email.in</v>
      </c>
      <c r="W48" t="str">
        <f t="shared" si="10"/>
        <v>Shimla</v>
      </c>
      <c r="X48" t="str">
        <f t="shared" si="122"/>
        <v>AJAY malhotra</v>
      </c>
      <c r="Y48" t="str">
        <f t="shared" si="11"/>
        <v>WHOLESALE</v>
      </c>
      <c r="Z48" t="str">
        <f t="shared" si="12"/>
        <v>scanner store india</v>
      </c>
      <c r="AA48" t="str">
        <f t="shared" si="13"/>
        <v>Document Manager</v>
      </c>
      <c r="AB48" t="str">
        <f t="shared" si="123"/>
        <v>147 The Mall</v>
      </c>
      <c r="AC48" t="str">
        <f t="shared" si="14"/>
        <v>DEPT-DOC-047</v>
      </c>
      <c r="AD48" t="str">
        <f t="shared" si="15"/>
        <v>Epson Flatbed Scanner</v>
      </c>
      <c r="AE48" t="str">
        <f t="shared" si="16"/>
        <v>www.scanners.in</v>
      </c>
      <c r="AF48" t="str">
        <f t="shared" si="17"/>
        <v>OCR capability needed</v>
      </c>
      <c r="AG48" t="str">
        <f t="shared" si="124"/>
        <v>CUST047</v>
      </c>
      <c r="AH48" t="str">
        <f t="shared" si="18"/>
        <v>PRD-SCANNER-047</v>
      </c>
      <c r="AI48" t="str">
        <f t="shared" si="125"/>
        <v xml:space="preserve">  Ajay Malhotra</v>
      </c>
      <c r="AJ48" t="str">
        <f t="shared" si="126"/>
        <v>0177-2345678</v>
      </c>
      <c r="AK48" t="str">
        <f t="shared" si="19"/>
        <v>wholesale</v>
      </c>
      <c r="AL48" t="str">
        <f t="shared" si="20"/>
        <v>Scanner Store India</v>
      </c>
      <c r="AM48" t="str">
        <f t="shared" si="127"/>
        <v>ajay_malhotra@email.in</v>
      </c>
      <c r="AN48" t="str">
        <f t="shared" si="21"/>
        <v>DOCUMENT MANAGER</v>
      </c>
      <c r="AO48" t="str">
        <f t="shared" si="128"/>
        <v>cust047-  AJAY malhotra</v>
      </c>
      <c r="AP48" t="str">
        <f t="shared" si="22"/>
        <v>AJAY malhotra</v>
      </c>
      <c r="AQ48" t="str">
        <f t="shared" si="23"/>
        <v>SHIMLA, Himachal Pradesh</v>
      </c>
      <c r="AR48" t="str">
        <f t="shared" si="24"/>
        <v>PRD-SCANNER-047:epson FLATBED scanner</v>
      </c>
      <c r="AS48" t="str">
        <f t="shared" si="25"/>
        <v>ajay_malhotra@email.in|0177-2345678</v>
      </c>
      <c r="AT48" t="str">
        <f t="shared" si="26"/>
        <v>SCANNER store INDIA-Document Manager</v>
      </c>
      <c r="AU48" t="str">
        <f t="shared" si="27"/>
        <v>WholeSale 08-Dec-2024</v>
      </c>
      <c r="AV48" t="str">
        <f t="shared" si="28"/>
        <v xml:space="preserve">  147 The Mall  ,SHIMLA, Himachal Pradesh,171001</v>
      </c>
      <c r="AW48" t="str">
        <f t="shared" si="29"/>
        <v>DEPT-DOC-047_Document Manager</v>
      </c>
      <c r="AX48" t="str">
        <f t="shared" si="30"/>
        <v>Customer ID:cust047</v>
      </c>
      <c r="AY48" t="str">
        <f t="shared" si="31"/>
        <v>Email:ajay_malhotra@email.in</v>
      </c>
      <c r="AZ48" t="str">
        <f t="shared" si="32"/>
        <v>www.scanners.in/contact</v>
      </c>
      <c r="BA48" t="str">
        <f t="shared" si="33"/>
        <v>Order Placed On 08-Dec-2024</v>
      </c>
      <c r="BB48" t="str">
        <f t="shared" si="34"/>
        <v xml:space="preserve">  AJAY malhotra(WholeSale)</v>
      </c>
      <c r="BC48" t="str">
        <f t="shared" si="35"/>
        <v>PRD-SCANNER-047/epson FLATBED scanner</v>
      </c>
      <c r="BD48" t="str">
        <f t="shared" si="36"/>
        <v>call 0177-2345678</v>
      </c>
      <c r="BE48" t="str">
        <f t="shared" si="37"/>
        <v>SCANNER store INDIA-DEPT-DOC-047</v>
      </c>
      <c r="BF48" t="str">
        <f t="shared" si="38"/>
        <v>cust047-47</v>
      </c>
      <c r="BG48" t="str">
        <f t="shared" si="39"/>
        <v>Customer:   AJAY malhotra,Type: WholeSale</v>
      </c>
      <c r="BH48" t="str">
        <f t="shared" si="40"/>
        <v>SHIMLA,india</v>
      </c>
      <c r="BI48" t="str">
        <f t="shared" si="41"/>
        <v>cust</v>
      </c>
      <c r="BJ48" t="str">
        <f t="shared" si="42"/>
        <v>ajay_malho</v>
      </c>
      <c r="BK48" t="str">
        <f t="shared" si="43"/>
        <v xml:space="preserve">AJAY </v>
      </c>
      <c r="BL48" t="str">
        <f t="shared" si="44"/>
        <v>PRD-S</v>
      </c>
      <c r="BM48" t="str">
        <f t="shared" si="45"/>
        <v>Who</v>
      </c>
      <c r="BN48" t="str">
        <f t="shared" si="46"/>
        <v>0177-234</v>
      </c>
      <c r="BO48" t="str">
        <f t="shared" si="47"/>
        <v>email.in</v>
      </c>
      <c r="BP48" t="str">
        <f t="shared" si="48"/>
        <v>SHIMLA</v>
      </c>
      <c r="BQ48" t="str">
        <f t="shared" si="49"/>
        <v>t047</v>
      </c>
      <c r="BR48" t="str">
        <f t="shared" si="50"/>
        <v>otra</v>
      </c>
      <c r="BS48" t="str">
        <f t="shared" si="51"/>
        <v>ER-047</v>
      </c>
      <c r="BU48" t="str">
        <f t="shared" si="52"/>
        <v>45678</v>
      </c>
      <c r="BV48" t="str">
        <f t="shared" si="53"/>
        <v>171001</v>
      </c>
      <c r="BW48" t="str">
        <f t="shared" si="54"/>
        <v xml:space="preserve"> Himachal Pradesh</v>
      </c>
      <c r="BX48" t="str">
        <f t="shared" si="55"/>
        <v>047</v>
      </c>
      <c r="BY48" t="str">
        <f t="shared" si="56"/>
        <v>DOC</v>
      </c>
      <c r="BZ48" t="str">
        <f t="shared" si="57"/>
        <v>SCANNER</v>
      </c>
      <c r="CA48" t="str">
        <f t="shared" si="58"/>
        <v>Dec</v>
      </c>
      <c r="CB48" t="str">
        <f t="shared" si="59"/>
        <v>ANNER</v>
      </c>
      <c r="CC48">
        <f t="shared" si="60"/>
        <v>14</v>
      </c>
      <c r="CD48">
        <f t="shared" si="61"/>
        <v>15</v>
      </c>
      <c r="CE48">
        <f t="shared" si="62"/>
        <v>22</v>
      </c>
      <c r="CF48">
        <f t="shared" si="63"/>
        <v>1</v>
      </c>
      <c r="CG48">
        <f t="shared" si="64"/>
        <v>21</v>
      </c>
      <c r="CH48">
        <f t="shared" si="65"/>
        <v>7</v>
      </c>
      <c r="CI48">
        <f t="shared" si="66"/>
        <v>7</v>
      </c>
      <c r="CJ48">
        <f t="shared" si="67"/>
        <v>1</v>
      </c>
      <c r="CK48">
        <f t="shared" si="68"/>
        <v>12</v>
      </c>
      <c r="CL48">
        <f t="shared" si="69"/>
        <v>4</v>
      </c>
      <c r="CM48">
        <f t="shared" si="70"/>
        <v>16</v>
      </c>
      <c r="CN48">
        <f t="shared" si="71"/>
        <v>20</v>
      </c>
      <c r="CO48">
        <f t="shared" si="72"/>
        <v>19</v>
      </c>
      <c r="CP48">
        <f t="shared" si="73"/>
        <v>12</v>
      </c>
      <c r="CQ48">
        <f t="shared" si="74"/>
        <v>12</v>
      </c>
      <c r="CR48" t="str">
        <f t="shared" si="75"/>
        <v>not found</v>
      </c>
      <c r="CS48">
        <f t="shared" si="76"/>
        <v>9</v>
      </c>
      <c r="CT48">
        <f t="shared" si="77"/>
        <v>12</v>
      </c>
      <c r="CU48">
        <f t="shared" si="78"/>
        <v>21</v>
      </c>
      <c r="CV48">
        <f t="shared" si="79"/>
        <v>3</v>
      </c>
      <c r="CW48" t="str">
        <f t="shared" si="80"/>
        <v>Customer ID047</v>
      </c>
      <c r="CX48" t="str">
        <f t="shared" si="81"/>
        <v>ajay_malhotra[AT]email.in</v>
      </c>
      <c r="CY48" t="str">
        <f t="shared" si="82"/>
        <v>Product-SCANNER-047</v>
      </c>
      <c r="CZ48" t="str">
        <f t="shared" si="83"/>
        <v>PRD_SCANNER_047</v>
      </c>
      <c r="DA48" t="str">
        <f t="shared" si="84"/>
        <v>DEPARTMENT-DOC-047</v>
      </c>
      <c r="DB48" t="str">
        <f t="shared" si="85"/>
        <v>AJAY_MALHOTRA@EMAIL.IN</v>
      </c>
      <c r="DC48" t="str">
        <f t="shared" si="86"/>
        <v>https://www..SCANNERS.IN</v>
      </c>
      <c r="DD48" t="str">
        <f t="shared" si="87"/>
        <v>//AJAY/malhotra</v>
      </c>
      <c r="DE48" t="str">
        <f t="shared" si="88"/>
        <v>WholeSale</v>
      </c>
      <c r="DF48" t="str">
        <f t="shared" si="89"/>
        <v>SHIMLA; Himachal Pradesh;171001</v>
      </c>
      <c r="DG48" t="str">
        <f t="shared" si="90"/>
        <v>Document Manager</v>
      </c>
      <c r="DH48" t="str">
        <f t="shared" si="91"/>
        <v>0177-2345678</v>
      </c>
      <c r="DI48" t="str">
        <f t="shared" si="92"/>
        <v>SCANNER store INDIA</v>
      </c>
      <c r="DJ48" t="str">
        <f t="shared" si="93"/>
        <v>www.scanners.in</v>
      </c>
      <c r="DK48" t="str">
        <f t="shared" si="94"/>
        <v xml:space="preserve">    147  The  Mall    </v>
      </c>
      <c r="DL48" t="str">
        <f t="shared" si="95"/>
        <v>ajay_malhotra</v>
      </c>
      <c r="DM48" t="str">
        <f t="shared" si="96"/>
        <v>AJAY.malhotra@SCANNER store INDIA.com</v>
      </c>
      <c r="DN48" t="str">
        <f t="shared" si="97"/>
        <v>AJAY</v>
      </c>
      <c r="DO48" t="str">
        <f t="shared" si="98"/>
        <v>malhotra</v>
      </c>
      <c r="DP48" t="str">
        <f t="shared" si="99"/>
        <v>malhotra,AJAY</v>
      </c>
      <c r="DQ48" t="str">
        <f t="shared" si="100"/>
        <v>Name has13characters</v>
      </c>
      <c r="DR48" t="str">
        <f t="shared" si="101"/>
        <v>Check Domain</v>
      </c>
      <c r="DS48" t="str">
        <f t="shared" si="102"/>
        <v>0177</v>
      </c>
      <c r="DT48" t="str">
        <f t="shared" si="103"/>
        <v>cus047</v>
      </c>
      <c r="DU48" t="str">
        <f t="shared" si="104"/>
        <v>Amalhotra</v>
      </c>
      <c r="DV48" t="str">
        <f t="shared" si="105"/>
        <v>PRD047</v>
      </c>
      <c r="DW48" t="str">
        <f t="shared" si="106"/>
        <v>0177-2345678</v>
      </c>
      <c r="DX48" t="str">
        <f t="shared" si="107"/>
        <v>2024</v>
      </c>
      <c r="DY48" t="str">
        <f t="shared" si="108"/>
        <v>A</v>
      </c>
      <c r="DZ48" t="str">
        <f t="shared" si="109"/>
        <v>AJAYmalhotra@SCANNER store INDIA.com</v>
      </c>
      <c r="EA48" t="str">
        <f t="shared" si="110"/>
        <v>Wholesale</v>
      </c>
      <c r="EB48" t="str">
        <f t="shared" si="111"/>
        <v>email.in</v>
      </c>
      <c r="EC48">
        <f t="shared" si="112"/>
        <v>21</v>
      </c>
      <c r="ED48" t="str">
        <f t="shared" si="113"/>
        <v>SH47</v>
      </c>
      <c r="EE48" t="str">
        <f t="shared" si="114"/>
        <v>SHIMLA- Himachal Pradesh(171001)</v>
      </c>
      <c r="EF48" t="str">
        <f t="shared" si="115"/>
        <v>01772345678</v>
      </c>
      <c r="EG48" t="str">
        <f t="shared" si="116"/>
        <v>CUST-047</v>
      </c>
      <c r="EH48" t="str">
        <f t="shared" si="117"/>
        <v>public</v>
      </c>
      <c r="EI48" t="str">
        <f t="shared" si="118"/>
        <v>PRD-047-08Dec24</v>
      </c>
      <c r="EJ48" t="str">
        <f t="shared" si="119"/>
        <v>Wholesale</v>
      </c>
    </row>
    <row r="49" spans="1:140" x14ac:dyDescent="0.3">
      <c r="A49" t="s">
        <v>628</v>
      </c>
      <c r="B49" t="s">
        <v>1506</v>
      </c>
      <c r="C49" t="s">
        <v>1507</v>
      </c>
      <c r="D49" t="s">
        <v>629</v>
      </c>
      <c r="E49" t="s">
        <v>630</v>
      </c>
      <c r="F49" t="s">
        <v>631</v>
      </c>
      <c r="G49" t="s">
        <v>632</v>
      </c>
      <c r="H49" t="s">
        <v>1655</v>
      </c>
      <c r="I49" t="s">
        <v>1656</v>
      </c>
      <c r="J49">
        <v>180001</v>
      </c>
      <c r="K49" t="str">
        <f t="shared" si="9"/>
        <v>Jammu, JAMMU AND KASHMIR,180001</v>
      </c>
      <c r="L49" t="s">
        <v>633</v>
      </c>
      <c r="M49" t="s">
        <v>634</v>
      </c>
      <c r="N49" t="s">
        <v>635</v>
      </c>
      <c r="O49" t="s">
        <v>132</v>
      </c>
      <c r="P49" t="s">
        <v>636</v>
      </c>
      <c r="Q49" t="s">
        <v>637</v>
      </c>
      <c r="R49" t="s">
        <v>638</v>
      </c>
      <c r="S49" t="s">
        <v>639</v>
      </c>
      <c r="T49" t="s">
        <v>640</v>
      </c>
      <c r="U49" t="str">
        <f t="shared" si="120"/>
        <v xml:space="preserve">LATA SHARMA  </v>
      </c>
      <c r="V49" t="str">
        <f t="shared" si="121"/>
        <v>lata.sharma@corporate.in</v>
      </c>
      <c r="W49" t="str">
        <f t="shared" si="10"/>
        <v>Jammu</v>
      </c>
      <c r="X49" t="str">
        <f t="shared" si="122"/>
        <v>lata SHARMA</v>
      </c>
      <c r="Y49" t="str">
        <f t="shared" si="11"/>
        <v>CORPORATE</v>
      </c>
      <c r="Z49" t="str">
        <f t="shared" si="12"/>
        <v xml:space="preserve">  office supplies pro  </v>
      </c>
      <c r="AA49" t="str">
        <f t="shared" si="13"/>
        <v>Admin Head</v>
      </c>
      <c r="AB49" t="str">
        <f t="shared" si="123"/>
        <v>258 Residency Road</v>
      </c>
      <c r="AC49" t="str">
        <f t="shared" si="14"/>
        <v>DEPT-ADM-048</v>
      </c>
      <c r="AD49" t="str">
        <f t="shared" si="15"/>
        <v>Fellowes A4 Laminator</v>
      </c>
      <c r="AE49" t="str">
        <f t="shared" si="16"/>
        <v>https://office.in</v>
      </c>
      <c r="AF49" t="str">
        <f t="shared" si="17"/>
        <v>Lamination thickness options</v>
      </c>
      <c r="AG49" t="str">
        <f t="shared" si="124"/>
        <v>CUST048</v>
      </c>
      <c r="AH49" t="str">
        <f t="shared" si="18"/>
        <v>PRD-LAM-048</v>
      </c>
      <c r="AI49" t="str">
        <f t="shared" si="125"/>
        <v xml:space="preserve">Lata Sharma  </v>
      </c>
      <c r="AJ49" t="str">
        <f t="shared" si="126"/>
        <v>+91-9876234890</v>
      </c>
      <c r="AK49" t="str">
        <f t="shared" si="19"/>
        <v>corporate</v>
      </c>
      <c r="AL49" t="str">
        <f t="shared" si="20"/>
        <v>Office Supplies Pro</v>
      </c>
      <c r="AM49" t="str">
        <f t="shared" si="127"/>
        <v>lata.sharma@corporate.in</v>
      </c>
      <c r="AN49" t="str">
        <f t="shared" si="21"/>
        <v>ADMIN HEAD</v>
      </c>
      <c r="AO49" t="str">
        <f t="shared" si="128"/>
        <v xml:space="preserve">Cust048-lata SHARMA  </v>
      </c>
      <c r="AP49" t="str">
        <f t="shared" si="22"/>
        <v>lata SHARMA</v>
      </c>
      <c r="AQ49" t="str">
        <f t="shared" si="23"/>
        <v>Jammu, JAMMU AND KASHMIR</v>
      </c>
      <c r="AR49" t="str">
        <f t="shared" si="24"/>
        <v>prd-lam-048:FELLOWES a4 LAMINATOR</v>
      </c>
      <c r="AS49" t="str">
        <f t="shared" si="25"/>
        <v>LATA.SHARMA@CORPORATE.IN|+91-9876234890</v>
      </c>
      <c r="AT49" t="str">
        <f t="shared" si="26"/>
        <v xml:space="preserve">  OFFICE supplies PRO  -ADMIN HEAD</v>
      </c>
      <c r="AU49" t="str">
        <f t="shared" si="27"/>
        <v>Corporate 15-Dec-2024</v>
      </c>
      <c r="AV49" t="str">
        <f t="shared" si="28"/>
        <v>258 Residency Road,Jammu, JAMMU AND KASHMIR,180001</v>
      </c>
      <c r="AW49" t="str">
        <f t="shared" si="29"/>
        <v>dept-adm-048_ADMIN HEAD</v>
      </c>
      <c r="AX49" t="str">
        <f t="shared" si="30"/>
        <v>Customer ID:Cust048</v>
      </c>
      <c r="AY49" t="str">
        <f t="shared" si="31"/>
        <v>Email:LATA.SHARMA@CORPORATE.IN</v>
      </c>
      <c r="AZ49" t="str">
        <f t="shared" si="32"/>
        <v>https://office.in/contact</v>
      </c>
      <c r="BA49" t="str">
        <f t="shared" si="33"/>
        <v>Order Placed On 15-Dec-2024</v>
      </c>
      <c r="BB49" t="str">
        <f t="shared" si="34"/>
        <v>lata SHARMA  (Corporate)</v>
      </c>
      <c r="BC49" t="str">
        <f t="shared" si="35"/>
        <v>prd-lam-048/FELLOWES a4 LAMINATOR</v>
      </c>
      <c r="BD49" t="str">
        <f t="shared" si="36"/>
        <v>call +91-9876234890</v>
      </c>
      <c r="BE49" t="str">
        <f t="shared" si="37"/>
        <v xml:space="preserve">  OFFICE supplies PRO  -dept-adm-048</v>
      </c>
      <c r="BF49" t="str">
        <f t="shared" si="38"/>
        <v>Cust048-48</v>
      </c>
      <c r="BG49" t="str">
        <f t="shared" si="39"/>
        <v>Customer: lata SHARMA  ,Type: Corporate</v>
      </c>
      <c r="BH49" t="str">
        <f t="shared" si="40"/>
        <v>Jammu,india</v>
      </c>
      <c r="BI49" t="str">
        <f t="shared" si="41"/>
        <v>Cust</v>
      </c>
      <c r="BJ49" t="str">
        <f t="shared" si="42"/>
        <v>LATA.SHARM</v>
      </c>
      <c r="BK49" t="str">
        <f t="shared" si="43"/>
        <v xml:space="preserve">lata </v>
      </c>
      <c r="BL49" t="str">
        <f t="shared" si="44"/>
        <v>prd-l</v>
      </c>
      <c r="BM49" t="str">
        <f t="shared" si="45"/>
        <v>Cor</v>
      </c>
      <c r="BN49" t="str">
        <f t="shared" si="46"/>
        <v>+91-9876</v>
      </c>
      <c r="BO49" t="str">
        <f t="shared" si="47"/>
        <v>CORPORATE.IN</v>
      </c>
      <c r="BP49" t="str">
        <f t="shared" si="48"/>
        <v>Jammu</v>
      </c>
      <c r="BQ49" t="str">
        <f t="shared" si="49"/>
        <v>t048</v>
      </c>
      <c r="BR49" t="str">
        <f t="shared" si="50"/>
        <v>ARMA</v>
      </c>
      <c r="BS49" t="str">
        <f t="shared" si="51"/>
        <v>am-048</v>
      </c>
      <c r="BU49" t="str">
        <f t="shared" si="52"/>
        <v>34890</v>
      </c>
      <c r="BV49" t="str">
        <f t="shared" si="53"/>
        <v>180001</v>
      </c>
      <c r="BW49" t="str">
        <f t="shared" si="54"/>
        <v xml:space="preserve"> JAMMU AND KASHMIR</v>
      </c>
      <c r="BX49" t="str">
        <f t="shared" si="55"/>
        <v>048</v>
      </c>
      <c r="BY49" t="str">
        <f t="shared" si="56"/>
        <v>adm</v>
      </c>
      <c r="BZ49" t="str">
        <f t="shared" si="57"/>
        <v>lam</v>
      </c>
      <c r="CA49" t="str">
        <f t="shared" si="58"/>
        <v>Dec</v>
      </c>
      <c r="CB49" t="str">
        <f t="shared" si="59"/>
        <v>OFFIC</v>
      </c>
      <c r="CC49">
        <f t="shared" si="60"/>
        <v>12</v>
      </c>
      <c r="CD49">
        <f t="shared" si="61"/>
        <v>13</v>
      </c>
      <c r="CE49">
        <f t="shared" si="62"/>
        <v>24</v>
      </c>
      <c r="CF49">
        <f t="shared" si="63"/>
        <v>5</v>
      </c>
      <c r="CG49">
        <f t="shared" si="64"/>
        <v>21</v>
      </c>
      <c r="CH49">
        <f t="shared" si="65"/>
        <v>6</v>
      </c>
      <c r="CI49">
        <f t="shared" si="66"/>
        <v>7</v>
      </c>
      <c r="CJ49" t="str">
        <f t="shared" si="67"/>
        <v>Not found</v>
      </c>
      <c r="CK49">
        <f t="shared" si="68"/>
        <v>14</v>
      </c>
      <c r="CL49">
        <f t="shared" si="69"/>
        <v>4</v>
      </c>
      <c r="CM49">
        <f t="shared" si="70"/>
        <v>18</v>
      </c>
      <c r="CN49">
        <f t="shared" si="71"/>
        <v>5</v>
      </c>
      <c r="CO49">
        <f t="shared" si="72"/>
        <v>19</v>
      </c>
      <c r="CP49">
        <f t="shared" si="73"/>
        <v>8</v>
      </c>
      <c r="CQ49">
        <f t="shared" si="74"/>
        <v>12</v>
      </c>
      <c r="CR49">
        <f t="shared" si="75"/>
        <v>7</v>
      </c>
      <c r="CS49">
        <f t="shared" si="76"/>
        <v>9</v>
      </c>
      <c r="CT49">
        <f t="shared" si="77"/>
        <v>8</v>
      </c>
      <c r="CU49">
        <f t="shared" si="78"/>
        <v>28</v>
      </c>
      <c r="CV49">
        <f t="shared" si="79"/>
        <v>3</v>
      </c>
      <c r="CW49" t="str">
        <f t="shared" si="80"/>
        <v>Customer ID048</v>
      </c>
      <c r="CX49" t="str">
        <f t="shared" si="81"/>
        <v>LATA.SHARMA[AT]CORPORATE.IN</v>
      </c>
      <c r="CY49" t="str">
        <f t="shared" si="82"/>
        <v>Product-LAM-048</v>
      </c>
      <c r="CZ49" t="str">
        <f t="shared" si="83"/>
        <v>prd_lam_048</v>
      </c>
      <c r="DA49" t="str">
        <f t="shared" si="84"/>
        <v>DEPARTMENT-ADM-048</v>
      </c>
      <c r="DB49" t="str">
        <f t="shared" si="85"/>
        <v>LATA.SHARMA@CORPORATE.IN</v>
      </c>
      <c r="DC49" t="str">
        <f t="shared" si="86"/>
        <v>HTTPS://OFFICE.IN</v>
      </c>
      <c r="DD49" t="str">
        <f t="shared" si="87"/>
        <v>lata/SHARMA//</v>
      </c>
      <c r="DE49" t="str">
        <f t="shared" si="88"/>
        <v>Corporate</v>
      </c>
      <c r="DF49" t="str">
        <f t="shared" si="89"/>
        <v>Jammu; JAMMU AND KASHMIR;180001</v>
      </c>
      <c r="DG49" t="str">
        <f t="shared" si="90"/>
        <v>ADMIN HEAD</v>
      </c>
      <c r="DH49" t="str">
        <f t="shared" si="91"/>
        <v>+91-9876234890</v>
      </c>
      <c r="DI49" t="str">
        <f t="shared" si="92"/>
        <v xml:space="preserve">  OFFICE supplies PRO  </v>
      </c>
      <c r="DJ49" t="str">
        <f t="shared" si="93"/>
        <v>https:://office.in</v>
      </c>
      <c r="DK49" t="str">
        <f t="shared" si="94"/>
        <v>258  Residency  Road</v>
      </c>
      <c r="DL49" t="str">
        <f t="shared" si="95"/>
        <v>LATA.SHARMA</v>
      </c>
      <c r="DM49" t="str">
        <f t="shared" si="96"/>
        <v>lata.SHARMA@  OFFICE supplies PRO  .com</v>
      </c>
      <c r="DN49" t="str">
        <f t="shared" si="97"/>
        <v>lata</v>
      </c>
      <c r="DO49" t="str">
        <f t="shared" si="98"/>
        <v>SHARMA</v>
      </c>
      <c r="DP49" t="str">
        <f t="shared" si="99"/>
        <v>SHARMA,lata</v>
      </c>
      <c r="DQ49" t="str">
        <f t="shared" si="100"/>
        <v>Name has11characters</v>
      </c>
      <c r="DR49" t="str">
        <f t="shared" si="101"/>
        <v>Check Domain</v>
      </c>
      <c r="DS49" t="str">
        <f t="shared" si="102"/>
        <v>+91-</v>
      </c>
      <c r="DT49" t="str">
        <f t="shared" si="103"/>
        <v>Cus048</v>
      </c>
      <c r="DU49" t="str">
        <f t="shared" si="104"/>
        <v>lsharma</v>
      </c>
      <c r="DV49" t="str">
        <f t="shared" si="105"/>
        <v>prd048</v>
      </c>
      <c r="DW49" t="str">
        <f t="shared" si="106"/>
        <v>+91-9876234890</v>
      </c>
      <c r="DX49" t="str">
        <f t="shared" si="107"/>
        <v>2024</v>
      </c>
      <c r="DY49" t="str">
        <f t="shared" si="108"/>
        <v>l</v>
      </c>
      <c r="DZ49" t="str">
        <f t="shared" si="109"/>
        <v>lataSHARMA@  OFFICE supplies PRO  .com</v>
      </c>
      <c r="EA49" t="str">
        <f t="shared" si="110"/>
        <v/>
      </c>
      <c r="EB49" t="str">
        <f t="shared" si="111"/>
        <v>CORPORATE.IN</v>
      </c>
      <c r="EC49">
        <f t="shared" si="112"/>
        <v>21</v>
      </c>
      <c r="ED49" t="str">
        <f t="shared" si="113"/>
        <v>Ja48</v>
      </c>
      <c r="EE49" t="str">
        <f t="shared" si="114"/>
        <v>Jammu- JAMMU AND KASHMIR(180001)</v>
      </c>
      <c r="EF49" t="str">
        <f t="shared" si="115"/>
        <v>919876234890</v>
      </c>
      <c r="EG49" t="str">
        <f t="shared" si="116"/>
        <v>CUST-048</v>
      </c>
      <c r="EH49" t="str">
        <f t="shared" si="117"/>
        <v>public</v>
      </c>
      <c r="EI49" t="str">
        <f t="shared" si="118"/>
        <v>PRD-048-15Dec24</v>
      </c>
      <c r="EJ49" t="str">
        <f t="shared" si="119"/>
        <v>Corporate</v>
      </c>
    </row>
    <row r="50" spans="1:140" x14ac:dyDescent="0.3">
      <c r="A50" t="s">
        <v>641</v>
      </c>
      <c r="B50" t="s">
        <v>1508</v>
      </c>
      <c r="C50" t="s">
        <v>1475</v>
      </c>
      <c r="D50" t="s">
        <v>642</v>
      </c>
      <c r="E50" t="s">
        <v>643</v>
      </c>
      <c r="F50" t="s">
        <v>644</v>
      </c>
      <c r="G50" t="s">
        <v>645</v>
      </c>
      <c r="H50" t="s">
        <v>1657</v>
      </c>
      <c r="I50" t="s">
        <v>1656</v>
      </c>
      <c r="J50">
        <v>190001</v>
      </c>
      <c r="K50" t="str">
        <f t="shared" si="9"/>
        <v>srinagar, JAMMU AND KASHMIR,190001</v>
      </c>
      <c r="L50" t="s">
        <v>646</v>
      </c>
      <c r="M50" t="s">
        <v>647</v>
      </c>
      <c r="N50" t="s">
        <v>648</v>
      </c>
      <c r="O50" t="s">
        <v>78</v>
      </c>
      <c r="P50" t="s">
        <v>649</v>
      </c>
      <c r="Q50" t="s">
        <v>650</v>
      </c>
      <c r="R50" t="s">
        <v>651</v>
      </c>
      <c r="S50" t="s">
        <v>652</v>
      </c>
      <c r="T50" t="s">
        <v>653</v>
      </c>
      <c r="U50" t="str">
        <f t="shared" si="120"/>
        <v>NAVEEN KUMAR</v>
      </c>
      <c r="V50" t="str">
        <f t="shared" si="121"/>
        <v>naveen.kumar@mail.in</v>
      </c>
      <c r="W50" t="str">
        <f t="shared" si="10"/>
        <v>Srinagar</v>
      </c>
      <c r="X50" t="str">
        <f t="shared" si="122"/>
        <v>naveen kumar</v>
      </c>
      <c r="Y50" t="str">
        <f t="shared" si="11"/>
        <v>RETAIL</v>
      </c>
      <c r="Z50" t="str">
        <f t="shared" si="12"/>
        <v>binding solutions</v>
      </c>
      <c r="AA50" t="str">
        <f t="shared" si="13"/>
        <v>Office Manager</v>
      </c>
      <c r="AB50" t="str">
        <f t="shared" si="123"/>
        <v>369 Dal Lake Road</v>
      </c>
      <c r="AC50" t="str">
        <f t="shared" si="14"/>
        <v>DEPT-OFFICE-049</v>
      </c>
      <c r="AD50" t="str">
        <f t="shared" si="15"/>
        <v>Gbc Comb Binding Machine</v>
      </c>
      <c r="AE50" t="str">
        <f t="shared" si="16"/>
        <v>www.binding.com</v>
      </c>
      <c r="AF50" t="str">
        <f t="shared" si="17"/>
        <v>Maximum binding capacity</v>
      </c>
      <c r="AG50" t="str">
        <f t="shared" si="124"/>
        <v>CUST049</v>
      </c>
      <c r="AH50" t="str">
        <f t="shared" si="18"/>
        <v>PRD-BIND-049</v>
      </c>
      <c r="AI50" t="str">
        <f t="shared" si="125"/>
        <v>Naveen Kumar</v>
      </c>
      <c r="AJ50" t="str">
        <f t="shared" si="126"/>
        <v>(0194) 3698-5214</v>
      </c>
      <c r="AK50" t="str">
        <f t="shared" si="19"/>
        <v>retail</v>
      </c>
      <c r="AL50" t="str">
        <f t="shared" si="20"/>
        <v>Binding Solutions</v>
      </c>
      <c r="AM50" t="str">
        <f t="shared" si="127"/>
        <v>naveen.kumar@mail.in</v>
      </c>
      <c r="AN50" t="str">
        <f t="shared" si="21"/>
        <v>OFFICE MANAGER</v>
      </c>
      <c r="AO50" t="str">
        <f t="shared" si="128"/>
        <v>CUST049-naveen kumar</v>
      </c>
      <c r="AP50" t="str">
        <f t="shared" si="22"/>
        <v>naveen kumar</v>
      </c>
      <c r="AQ50" t="str">
        <f t="shared" si="23"/>
        <v>srinagar, JAMMU AND KASHMIR</v>
      </c>
      <c r="AR50" t="str">
        <f t="shared" si="24"/>
        <v>prd-bind-049:GBC comb BINDING machine</v>
      </c>
      <c r="AS50" t="str">
        <f t="shared" si="25"/>
        <v>naveen.kumar@mail.in|(0194) 3698-5214</v>
      </c>
      <c r="AT50" t="str">
        <f t="shared" si="26"/>
        <v>binding SOLUTIONS-Office Manager</v>
      </c>
      <c r="AU50" t="str">
        <f t="shared" si="27"/>
        <v>retail 22-Dec-2024</v>
      </c>
      <c r="AV50" t="str">
        <f t="shared" si="28"/>
        <v>369 Dal Lake Road,srinagar, JAMMU AND KASHMIR,190001</v>
      </c>
      <c r="AW50" t="str">
        <f t="shared" si="29"/>
        <v>dept-office-049_Office Manager</v>
      </c>
      <c r="AX50" t="str">
        <f t="shared" si="30"/>
        <v>Customer ID:CUST049</v>
      </c>
      <c r="AY50" t="str">
        <f t="shared" si="31"/>
        <v>Email:naveen.kumar@mail.in</v>
      </c>
      <c r="AZ50" t="str">
        <f t="shared" si="32"/>
        <v>WWW.BINDING.COM/contact</v>
      </c>
      <c r="BA50" t="str">
        <f t="shared" si="33"/>
        <v>Order Placed On 22-Dec-2024</v>
      </c>
      <c r="BB50" t="str">
        <f t="shared" si="34"/>
        <v>naveen kumar(retail)</v>
      </c>
      <c r="BC50" t="str">
        <f t="shared" si="35"/>
        <v>prd-bind-049/GBC comb BINDING machine</v>
      </c>
      <c r="BD50" t="str">
        <f t="shared" si="36"/>
        <v>call (0194) 3698-5214</v>
      </c>
      <c r="BE50" t="str">
        <f t="shared" si="37"/>
        <v>binding SOLUTIONS-dept-office-049</v>
      </c>
      <c r="BF50" t="str">
        <f t="shared" si="38"/>
        <v>CUST049-49</v>
      </c>
      <c r="BG50" t="str">
        <f t="shared" si="39"/>
        <v>Customer: naveen kumar,Type: retail</v>
      </c>
      <c r="BH50" t="str">
        <f t="shared" si="40"/>
        <v>srinagar,india</v>
      </c>
      <c r="BI50" t="str">
        <f t="shared" si="41"/>
        <v>CUST</v>
      </c>
      <c r="BJ50" t="str">
        <f t="shared" si="42"/>
        <v>naveen.kum</v>
      </c>
      <c r="BK50" t="str">
        <f t="shared" si="43"/>
        <v xml:space="preserve">naveen </v>
      </c>
      <c r="BL50" t="str">
        <f t="shared" si="44"/>
        <v>prd-b</v>
      </c>
      <c r="BM50" t="str">
        <f t="shared" si="45"/>
        <v>ret</v>
      </c>
      <c r="BN50" t="str">
        <f t="shared" si="46"/>
        <v>(0194) 3</v>
      </c>
      <c r="BO50" t="str">
        <f t="shared" si="47"/>
        <v>mail.in</v>
      </c>
      <c r="BP50" t="str">
        <f t="shared" si="48"/>
        <v>srinagar</v>
      </c>
      <c r="BQ50" t="str">
        <f t="shared" si="49"/>
        <v>T049</v>
      </c>
      <c r="BR50" t="str">
        <f t="shared" si="50"/>
        <v xml:space="preserve"> kumar</v>
      </c>
      <c r="BS50" t="str">
        <f t="shared" si="51"/>
        <v>nd-049</v>
      </c>
      <c r="BU50" t="str">
        <f t="shared" si="52"/>
        <v>-5214</v>
      </c>
      <c r="BV50" t="str">
        <f t="shared" si="53"/>
        <v>190001</v>
      </c>
      <c r="BW50" t="str">
        <f t="shared" si="54"/>
        <v xml:space="preserve"> JAMMU AND KASHMIR</v>
      </c>
      <c r="BX50" t="str">
        <f t="shared" si="55"/>
        <v>049</v>
      </c>
      <c r="BY50" t="str">
        <f t="shared" si="56"/>
        <v>office</v>
      </c>
      <c r="BZ50" t="str">
        <f t="shared" si="57"/>
        <v>bind</v>
      </c>
      <c r="CA50" t="str">
        <f t="shared" si="58"/>
        <v>Dec</v>
      </c>
      <c r="CB50" t="str">
        <f t="shared" si="59"/>
        <v>nding</v>
      </c>
      <c r="CC50">
        <f t="shared" si="60"/>
        <v>13</v>
      </c>
      <c r="CD50">
        <f t="shared" si="61"/>
        <v>12</v>
      </c>
      <c r="CE50">
        <f t="shared" si="62"/>
        <v>20</v>
      </c>
      <c r="CF50">
        <f t="shared" si="63"/>
        <v>7</v>
      </c>
      <c r="CG50">
        <f t="shared" si="64"/>
        <v>24</v>
      </c>
      <c r="CH50">
        <f t="shared" si="65"/>
        <v>9</v>
      </c>
      <c r="CI50">
        <f t="shared" si="66"/>
        <v>7</v>
      </c>
      <c r="CJ50" t="str">
        <f t="shared" si="67"/>
        <v>Not found</v>
      </c>
      <c r="CK50">
        <f t="shared" si="68"/>
        <v>16</v>
      </c>
      <c r="CL50">
        <f t="shared" si="69"/>
        <v>4</v>
      </c>
      <c r="CM50">
        <f t="shared" si="70"/>
        <v>17</v>
      </c>
      <c r="CN50">
        <f t="shared" si="71"/>
        <v>7</v>
      </c>
      <c r="CO50">
        <f t="shared" si="72"/>
        <v>17</v>
      </c>
      <c r="CP50">
        <f t="shared" si="73"/>
        <v>9</v>
      </c>
      <c r="CQ50">
        <f t="shared" si="74"/>
        <v>15</v>
      </c>
      <c r="CR50" t="str">
        <f t="shared" si="75"/>
        <v>not found</v>
      </c>
      <c r="CS50">
        <f t="shared" si="76"/>
        <v>6</v>
      </c>
      <c r="CT50">
        <f t="shared" si="77"/>
        <v>9</v>
      </c>
      <c r="CU50">
        <f t="shared" si="78"/>
        <v>28</v>
      </c>
      <c r="CV50">
        <f t="shared" si="79"/>
        <v>3</v>
      </c>
      <c r="CW50" t="str">
        <f t="shared" si="80"/>
        <v>Customer ID049</v>
      </c>
      <c r="CX50" t="str">
        <f t="shared" si="81"/>
        <v>naveen.kumar[AT]mail.in</v>
      </c>
      <c r="CY50" t="str">
        <f t="shared" si="82"/>
        <v>Product-BIND-049</v>
      </c>
      <c r="CZ50" t="str">
        <f t="shared" si="83"/>
        <v>prd_bind_049</v>
      </c>
      <c r="DA50" t="str">
        <f t="shared" si="84"/>
        <v>DEPARTMENT-OFFICE-049</v>
      </c>
      <c r="DB50" t="str">
        <f t="shared" si="85"/>
        <v>NAVEEN.KUMAR@MAIL.IN</v>
      </c>
      <c r="DC50" t="str">
        <f t="shared" si="86"/>
        <v>https://www..BINDING.COM</v>
      </c>
      <c r="DD50" t="str">
        <f t="shared" si="87"/>
        <v>naveen/kumar</v>
      </c>
      <c r="DE50" t="str">
        <f t="shared" si="88"/>
        <v>RETAIL CUSTOMER</v>
      </c>
      <c r="DF50" t="str">
        <f t="shared" si="89"/>
        <v>srinagar; JAMMU AND KASHMIR;190001</v>
      </c>
      <c r="DG50" t="str">
        <f t="shared" si="90"/>
        <v>Office Manager</v>
      </c>
      <c r="DH50" t="str">
        <f t="shared" si="91"/>
        <v xml:space="preserve"> 0194  3698-5214</v>
      </c>
      <c r="DI50" t="str">
        <f t="shared" si="92"/>
        <v>binding SOLUTIONS</v>
      </c>
      <c r="DJ50" t="str">
        <f t="shared" si="93"/>
        <v>WWW.BINDING.COM</v>
      </c>
      <c r="DK50" t="str">
        <f t="shared" si="94"/>
        <v>369  Dal  Lake  Road</v>
      </c>
      <c r="DL50" t="str">
        <f t="shared" si="95"/>
        <v>naveen.kumar</v>
      </c>
      <c r="DM50" t="str">
        <f t="shared" si="96"/>
        <v>naveen.kumar@binding SOLUTIONS.com</v>
      </c>
      <c r="DN50" t="str">
        <f t="shared" si="97"/>
        <v>naveen</v>
      </c>
      <c r="DO50" t="str">
        <f t="shared" si="98"/>
        <v>kumar</v>
      </c>
      <c r="DP50" t="str">
        <f t="shared" si="99"/>
        <v>kumar,naveen</v>
      </c>
      <c r="DQ50" t="str">
        <f t="shared" si="100"/>
        <v>Name has12characters</v>
      </c>
      <c r="DR50" t="str">
        <f t="shared" si="101"/>
        <v>Check Domain</v>
      </c>
      <c r="DS50" t="str">
        <f t="shared" si="102"/>
        <v>(019</v>
      </c>
      <c r="DT50" t="str">
        <f t="shared" si="103"/>
        <v>CUS049</v>
      </c>
      <c r="DU50" t="str">
        <f t="shared" si="104"/>
        <v>nkumar</v>
      </c>
      <c r="DV50" t="str">
        <f t="shared" si="105"/>
        <v>prd049</v>
      </c>
      <c r="DW50" t="str">
        <f t="shared" si="106"/>
        <v>(0194) 3698-5214</v>
      </c>
      <c r="DX50" t="str">
        <f t="shared" si="107"/>
        <v>2024</v>
      </c>
      <c r="DY50" t="str">
        <f t="shared" si="108"/>
        <v>n</v>
      </c>
      <c r="DZ50" t="str">
        <f t="shared" si="109"/>
        <v>naveenkumar@binding SOLUTIONS.com</v>
      </c>
      <c r="EA50" t="str">
        <f t="shared" si="110"/>
        <v>Retail</v>
      </c>
      <c r="EB50" t="str">
        <f t="shared" si="111"/>
        <v>mail.in</v>
      </c>
      <c r="EC50">
        <f t="shared" si="112"/>
        <v>24</v>
      </c>
      <c r="ED50" t="str">
        <f t="shared" si="113"/>
        <v>sr49</v>
      </c>
      <c r="EE50" t="str">
        <f t="shared" si="114"/>
        <v>srinagar- JAMMU AND KASHMIR(190001)</v>
      </c>
      <c r="EF50" t="str">
        <f t="shared" si="115"/>
        <v>019436985214</v>
      </c>
      <c r="EG50" t="str">
        <f t="shared" si="116"/>
        <v>CUST-049</v>
      </c>
      <c r="EH50" t="str">
        <f t="shared" si="117"/>
        <v>public</v>
      </c>
      <c r="EI50" t="str">
        <f t="shared" si="118"/>
        <v>PRD-049-22Dec24</v>
      </c>
      <c r="EJ50" t="str">
        <f t="shared" si="119"/>
        <v>Retail</v>
      </c>
    </row>
    <row r="51" spans="1:140" x14ac:dyDescent="0.3">
      <c r="A51" t="s">
        <v>654</v>
      </c>
      <c r="B51" t="s">
        <v>1509</v>
      </c>
      <c r="C51" t="s">
        <v>1510</v>
      </c>
      <c r="D51" t="s">
        <v>655</v>
      </c>
      <c r="E51" t="s">
        <v>656</v>
      </c>
      <c r="F51" t="s">
        <v>657</v>
      </c>
      <c r="G51" t="s">
        <v>658</v>
      </c>
      <c r="H51" t="s">
        <v>1658</v>
      </c>
      <c r="I51" t="s">
        <v>1581</v>
      </c>
      <c r="J51">
        <v>580020</v>
      </c>
      <c r="K51" t="str">
        <f t="shared" si="9"/>
        <v>HUBLI, Karnataka,580020</v>
      </c>
      <c r="L51" t="s">
        <v>659</v>
      </c>
      <c r="M51" t="s">
        <v>660</v>
      </c>
      <c r="N51" t="s">
        <v>661</v>
      </c>
      <c r="O51" t="s">
        <v>36</v>
      </c>
      <c r="P51" t="s">
        <v>662</v>
      </c>
      <c r="Q51" t="s">
        <v>663</v>
      </c>
      <c r="R51" t="s">
        <v>664</v>
      </c>
      <c r="S51" t="s">
        <v>665</v>
      </c>
      <c r="T51" t="s">
        <v>666</v>
      </c>
      <c r="U51" t="str">
        <f t="shared" si="120"/>
        <v xml:space="preserve">  PALLAVI IYER</v>
      </c>
      <c r="V51" t="str">
        <f t="shared" si="121"/>
        <v>pallavi_iyer@email.in</v>
      </c>
      <c r="W51" t="str">
        <f t="shared" si="10"/>
        <v>Hubli</v>
      </c>
      <c r="X51" t="str">
        <f t="shared" si="122"/>
        <v>PALLAVI iyer</v>
      </c>
      <c r="Y51" t="str">
        <f t="shared" si="11"/>
        <v>WHOLESALE</v>
      </c>
      <c r="Z51" t="str">
        <f t="shared" si="12"/>
        <v>shredder world india</v>
      </c>
      <c r="AA51" t="str">
        <f t="shared" si="13"/>
        <v>Security Officer</v>
      </c>
      <c r="AB51" t="str">
        <f t="shared" si="123"/>
        <v>741 Unkal</v>
      </c>
      <c r="AC51" t="str">
        <f t="shared" si="14"/>
        <v>DEPT-SEC-050</v>
      </c>
      <c r="AD51" t="str">
        <f t="shared" si="15"/>
        <v>Aurora Paper Shredder</v>
      </c>
      <c r="AE51" t="str">
        <f t="shared" si="16"/>
        <v>www.shredders.in</v>
      </c>
      <c r="AF51" t="str">
        <f t="shared" si="17"/>
        <v>Cross-cut type preferred</v>
      </c>
      <c r="AG51" t="str">
        <f t="shared" si="124"/>
        <v>CUST050</v>
      </c>
      <c r="AH51" t="str">
        <f t="shared" si="18"/>
        <v>PRD-SHRED-050</v>
      </c>
      <c r="AI51" t="str">
        <f t="shared" si="125"/>
        <v xml:space="preserve">  Pallavi Iyer</v>
      </c>
      <c r="AJ51" t="str">
        <f t="shared" si="126"/>
        <v>0836-2468135</v>
      </c>
      <c r="AK51" t="str">
        <f t="shared" si="19"/>
        <v>wholesale</v>
      </c>
      <c r="AL51" t="str">
        <f t="shared" si="20"/>
        <v>Shredder World India</v>
      </c>
      <c r="AM51" t="str">
        <f t="shared" si="127"/>
        <v>pallavi_iyer@email.in</v>
      </c>
      <c r="AN51" t="str">
        <f t="shared" si="21"/>
        <v>SECURITY OFFICER</v>
      </c>
      <c r="AO51" t="str">
        <f t="shared" si="128"/>
        <v>cust050-  PALLAVI iyer</v>
      </c>
      <c r="AP51" t="str">
        <f t="shared" si="22"/>
        <v>PALLAVI iyer</v>
      </c>
      <c r="AQ51" t="str">
        <f t="shared" si="23"/>
        <v>HUBLI, Karnataka</v>
      </c>
      <c r="AR51" t="str">
        <f t="shared" si="24"/>
        <v>PRD-SHRED-050:aurora PAPER shredder</v>
      </c>
      <c r="AS51" t="str">
        <f t="shared" si="25"/>
        <v>pallavi_iyer@email.in|0836-2468135</v>
      </c>
      <c r="AT51" t="str">
        <f t="shared" si="26"/>
        <v>SHREDDER world INDIA-Security Officer</v>
      </c>
      <c r="AU51" t="str">
        <f t="shared" si="27"/>
        <v>wholesale 29-Dec-2024</v>
      </c>
      <c r="AV51" t="str">
        <f t="shared" si="28"/>
        <v xml:space="preserve">  741 Unkal  ,HUBLI, Karnataka,580020</v>
      </c>
      <c r="AW51" t="str">
        <f t="shared" si="29"/>
        <v>DEPT-SEC-050_Security Officer</v>
      </c>
      <c r="AX51" t="str">
        <f t="shared" si="30"/>
        <v>Customer ID:cust050</v>
      </c>
      <c r="AY51" t="str">
        <f t="shared" si="31"/>
        <v>Email:pallavi_iyer@email.in</v>
      </c>
      <c r="AZ51" t="str">
        <f t="shared" si="32"/>
        <v>www.shredders.in/contact</v>
      </c>
      <c r="BA51" t="str">
        <f t="shared" si="33"/>
        <v>Order Placed On 29-Dec-2024</v>
      </c>
      <c r="BB51" t="str">
        <f t="shared" si="34"/>
        <v xml:space="preserve">  PALLAVI iyer(wholesale)</v>
      </c>
      <c r="BC51" t="str">
        <f t="shared" si="35"/>
        <v>PRD-SHRED-050/aurora PAPER shredder</v>
      </c>
      <c r="BD51" t="str">
        <f t="shared" si="36"/>
        <v>call 0836-2468135</v>
      </c>
      <c r="BE51" t="str">
        <f t="shared" si="37"/>
        <v>SHREDDER world INDIA-DEPT-SEC-050</v>
      </c>
      <c r="BF51" t="str">
        <f t="shared" si="38"/>
        <v>cust050-50</v>
      </c>
      <c r="BG51" t="str">
        <f t="shared" si="39"/>
        <v>Customer:   PALLAVI iyer,Type: wholesale</v>
      </c>
      <c r="BH51" t="str">
        <f t="shared" si="40"/>
        <v>HUBLI,india</v>
      </c>
      <c r="BI51" t="str">
        <f t="shared" si="41"/>
        <v>cust</v>
      </c>
      <c r="BJ51" t="str">
        <f t="shared" si="42"/>
        <v>pallavi_iy</v>
      </c>
      <c r="BK51" t="str">
        <f t="shared" si="43"/>
        <v xml:space="preserve">PALLAVI </v>
      </c>
      <c r="BL51" t="str">
        <f t="shared" si="44"/>
        <v>PRD-S</v>
      </c>
      <c r="BM51" t="str">
        <f t="shared" si="45"/>
        <v>who</v>
      </c>
      <c r="BN51" t="str">
        <f t="shared" si="46"/>
        <v>0836-246</v>
      </c>
      <c r="BO51" t="str">
        <f t="shared" si="47"/>
        <v>email.in</v>
      </c>
      <c r="BP51" t="str">
        <f t="shared" si="48"/>
        <v>HUBLI</v>
      </c>
      <c r="BQ51" t="str">
        <f t="shared" si="49"/>
        <v>t050</v>
      </c>
      <c r="BR51" t="str">
        <f t="shared" si="50"/>
        <v>VI iyer</v>
      </c>
      <c r="BS51" t="str">
        <f t="shared" si="51"/>
        <v>ED-050</v>
      </c>
      <c r="BU51" t="str">
        <f t="shared" si="52"/>
        <v>68135</v>
      </c>
      <c r="BV51" t="str">
        <f t="shared" si="53"/>
        <v>580020</v>
      </c>
      <c r="BW51" t="str">
        <f t="shared" si="54"/>
        <v xml:space="preserve"> Karnataka</v>
      </c>
      <c r="BX51" t="str">
        <f t="shared" si="55"/>
        <v>050</v>
      </c>
      <c r="BY51" t="str">
        <f t="shared" si="56"/>
        <v>SEC</v>
      </c>
      <c r="BZ51" t="str">
        <f t="shared" si="57"/>
        <v>SHRED</v>
      </c>
      <c r="CA51" t="str">
        <f t="shared" si="58"/>
        <v>Dec</v>
      </c>
      <c r="CB51" t="str">
        <f t="shared" si="59"/>
        <v>REDDE</v>
      </c>
      <c r="CC51">
        <f t="shared" si="60"/>
        <v>13</v>
      </c>
      <c r="CD51">
        <f t="shared" si="61"/>
        <v>14</v>
      </c>
      <c r="CE51">
        <f t="shared" si="62"/>
        <v>21</v>
      </c>
      <c r="CF51">
        <f t="shared" si="63"/>
        <v>1</v>
      </c>
      <c r="CG51">
        <f t="shared" si="64"/>
        <v>21</v>
      </c>
      <c r="CH51">
        <f t="shared" si="65"/>
        <v>6</v>
      </c>
      <c r="CI51">
        <f t="shared" si="66"/>
        <v>7</v>
      </c>
      <c r="CJ51">
        <f t="shared" si="67"/>
        <v>1</v>
      </c>
      <c r="CK51">
        <f t="shared" si="68"/>
        <v>12</v>
      </c>
      <c r="CL51">
        <f t="shared" si="69"/>
        <v>4</v>
      </c>
      <c r="CM51">
        <f t="shared" si="70"/>
        <v>13</v>
      </c>
      <c r="CN51">
        <f t="shared" si="71"/>
        <v>19</v>
      </c>
      <c r="CO51">
        <f t="shared" si="72"/>
        <v>20</v>
      </c>
      <c r="CP51">
        <f t="shared" si="73"/>
        <v>10</v>
      </c>
      <c r="CQ51">
        <f t="shared" si="74"/>
        <v>12</v>
      </c>
      <c r="CR51" t="str">
        <f t="shared" si="75"/>
        <v>not found</v>
      </c>
      <c r="CS51">
        <f t="shared" si="76"/>
        <v>9</v>
      </c>
      <c r="CT51">
        <f t="shared" si="77"/>
        <v>10</v>
      </c>
      <c r="CU51">
        <f t="shared" si="78"/>
        <v>24</v>
      </c>
      <c r="CV51">
        <f t="shared" si="79"/>
        <v>3</v>
      </c>
      <c r="CW51" t="str">
        <f t="shared" si="80"/>
        <v>Customer ID050</v>
      </c>
      <c r="CX51" t="str">
        <f t="shared" si="81"/>
        <v>pallavi_iyer[AT]email.in</v>
      </c>
      <c r="CY51" t="str">
        <f t="shared" si="82"/>
        <v>Product-SHRED-050</v>
      </c>
      <c r="CZ51" t="str">
        <f t="shared" si="83"/>
        <v>PRD_SHRED_050</v>
      </c>
      <c r="DA51" t="str">
        <f t="shared" si="84"/>
        <v>DEPARTMENT-SEC-050</v>
      </c>
      <c r="DB51" t="str">
        <f t="shared" si="85"/>
        <v>PALLAVI_IYER@EMAIL.IN</v>
      </c>
      <c r="DC51" t="str">
        <f t="shared" si="86"/>
        <v>https://www..SHREDDERS.IN</v>
      </c>
      <c r="DD51" t="str">
        <f t="shared" si="87"/>
        <v>//PALLAVI/iyer</v>
      </c>
      <c r="DE51" t="str">
        <f t="shared" si="88"/>
        <v>wholesale</v>
      </c>
      <c r="DF51" t="str">
        <f t="shared" si="89"/>
        <v>HUBLI; Karnataka;580020</v>
      </c>
      <c r="DG51" t="str">
        <f t="shared" si="90"/>
        <v>Security Officer</v>
      </c>
      <c r="DH51" t="str">
        <f t="shared" si="91"/>
        <v>0836-2468135</v>
      </c>
      <c r="DI51" t="str">
        <f t="shared" si="92"/>
        <v>SHREDDER world INDIA</v>
      </c>
      <c r="DJ51" t="str">
        <f t="shared" si="93"/>
        <v>www.shredders.in</v>
      </c>
      <c r="DK51" t="str">
        <f t="shared" si="94"/>
        <v xml:space="preserve">    741  Unkal    </v>
      </c>
      <c r="DL51" t="str">
        <f t="shared" si="95"/>
        <v>pallavi_iyer</v>
      </c>
      <c r="DM51" t="str">
        <f t="shared" si="96"/>
        <v>PALLAVI.iyer@SHREDDER world INDIA.com</v>
      </c>
      <c r="DN51" t="str">
        <f t="shared" si="97"/>
        <v>PALLAVI</v>
      </c>
      <c r="DO51" t="str">
        <f t="shared" si="98"/>
        <v>iyer</v>
      </c>
      <c r="DP51" t="str">
        <f t="shared" si="99"/>
        <v>iyer,PALLAVI</v>
      </c>
      <c r="DQ51" t="str">
        <f t="shared" si="100"/>
        <v>Name has12characters</v>
      </c>
      <c r="DR51" t="str">
        <f t="shared" si="101"/>
        <v>Check Domain</v>
      </c>
      <c r="DS51" t="str">
        <f t="shared" si="102"/>
        <v>0836</v>
      </c>
      <c r="DT51" t="str">
        <f t="shared" si="103"/>
        <v>cus050</v>
      </c>
      <c r="DU51" t="str">
        <f t="shared" si="104"/>
        <v>Piyer</v>
      </c>
      <c r="DV51" t="str">
        <f t="shared" si="105"/>
        <v>PRD050</v>
      </c>
      <c r="DW51" t="str">
        <f t="shared" si="106"/>
        <v>0836-2468135</v>
      </c>
      <c r="DX51" t="str">
        <f t="shared" si="107"/>
        <v>2024</v>
      </c>
      <c r="DY51" t="str">
        <f t="shared" si="108"/>
        <v>P</v>
      </c>
      <c r="DZ51" t="str">
        <f t="shared" si="109"/>
        <v>PALLAVIiyer@SHREDDER world INDIA.com</v>
      </c>
      <c r="EA51" t="str">
        <f t="shared" si="110"/>
        <v>Wholesale</v>
      </c>
      <c r="EB51" t="str">
        <f t="shared" si="111"/>
        <v>email.in</v>
      </c>
      <c r="EC51">
        <f t="shared" si="112"/>
        <v>21</v>
      </c>
      <c r="ED51" t="str">
        <f t="shared" si="113"/>
        <v>HU50</v>
      </c>
      <c r="EE51" t="str">
        <f t="shared" si="114"/>
        <v>HUBLI- Karnataka(580020)</v>
      </c>
      <c r="EF51" t="str">
        <f t="shared" si="115"/>
        <v>08362468135</v>
      </c>
      <c r="EG51" t="str">
        <f t="shared" si="116"/>
        <v>CUST-050</v>
      </c>
      <c r="EH51" t="str">
        <f t="shared" si="117"/>
        <v>public</v>
      </c>
      <c r="EI51" t="str">
        <f t="shared" si="118"/>
        <v>PRD-050-29Dec24</v>
      </c>
      <c r="EJ51" t="str">
        <f t="shared" si="119"/>
        <v>Wholesale</v>
      </c>
    </row>
    <row r="52" spans="1:140" x14ac:dyDescent="0.3">
      <c r="A52" t="s">
        <v>667</v>
      </c>
      <c r="B52" t="s">
        <v>1511</v>
      </c>
      <c r="C52" t="s">
        <v>1436</v>
      </c>
      <c r="D52" t="s">
        <v>668</v>
      </c>
      <c r="E52" t="s">
        <v>669</v>
      </c>
      <c r="F52" t="s">
        <v>670</v>
      </c>
      <c r="G52" t="s">
        <v>671</v>
      </c>
      <c r="H52" t="s">
        <v>1602</v>
      </c>
      <c r="I52" t="s">
        <v>1597</v>
      </c>
      <c r="J52">
        <v>411007</v>
      </c>
      <c r="K52" t="str">
        <f t="shared" si="9"/>
        <v>Pune, MAHARASHTRA,411007</v>
      </c>
      <c r="L52" t="s">
        <v>672</v>
      </c>
      <c r="M52" t="s">
        <v>673</v>
      </c>
      <c r="N52" t="s">
        <v>674</v>
      </c>
      <c r="O52" t="s">
        <v>132</v>
      </c>
      <c r="P52" t="s">
        <v>675</v>
      </c>
      <c r="Q52" t="s">
        <v>676</v>
      </c>
      <c r="R52" t="s">
        <v>677</v>
      </c>
      <c r="S52" t="s">
        <v>678</v>
      </c>
      <c r="T52" t="s">
        <v>679</v>
      </c>
      <c r="U52" t="str">
        <f t="shared" si="120"/>
        <v xml:space="preserve">SACHIN JOSHI  </v>
      </c>
      <c r="V52" t="str">
        <f t="shared" si="121"/>
        <v>sachin.joshi@company.in</v>
      </c>
      <c r="W52" t="str">
        <f t="shared" si="10"/>
        <v>Pune</v>
      </c>
      <c r="X52" t="str">
        <f t="shared" si="122"/>
        <v>sachin JOSHI</v>
      </c>
      <c r="Y52" t="str">
        <f t="shared" si="11"/>
        <v>CORPORATE</v>
      </c>
      <c r="Z52" t="str">
        <f t="shared" si="12"/>
        <v xml:space="preserve">  projector solutions pro  </v>
      </c>
      <c r="AA52" t="str">
        <f t="shared" si="13"/>
        <v>Presentation Lead</v>
      </c>
      <c r="AB52" t="str">
        <f t="shared" si="123"/>
        <v>852 Aundh</v>
      </c>
      <c r="AC52" t="str">
        <f t="shared" si="14"/>
        <v>DEPT-PRES-051</v>
      </c>
      <c r="AD52" t="str">
        <f t="shared" si="15"/>
        <v>Epson Eb-S05 Projector</v>
      </c>
      <c r="AE52" t="str">
        <f t="shared" si="16"/>
        <v>https://www.projectors.in</v>
      </c>
      <c r="AF52" t="str">
        <f t="shared" si="17"/>
        <v>Lumens specification needed</v>
      </c>
      <c r="AG52" t="str">
        <f t="shared" si="124"/>
        <v>CUST051</v>
      </c>
      <c r="AH52" t="str">
        <f t="shared" si="18"/>
        <v>PRD-PROJ-051</v>
      </c>
      <c r="AI52" t="str">
        <f t="shared" si="125"/>
        <v xml:space="preserve">Sachin Joshi  </v>
      </c>
      <c r="AJ52" t="str">
        <f t="shared" si="126"/>
        <v>+91-9123456098</v>
      </c>
      <c r="AK52" t="str">
        <f t="shared" si="19"/>
        <v>corporate</v>
      </c>
      <c r="AL52" t="str">
        <f t="shared" si="20"/>
        <v>Projector Solutions Pro</v>
      </c>
      <c r="AM52" t="str">
        <f t="shared" si="127"/>
        <v>sachin.joshi@company.in</v>
      </c>
      <c r="AN52" t="str">
        <f t="shared" si="21"/>
        <v>PRESENTATION LEAD</v>
      </c>
      <c r="AO52" t="str">
        <f t="shared" si="128"/>
        <v xml:space="preserve">Cust051-sachin JOSHI  </v>
      </c>
      <c r="AP52" t="str">
        <f t="shared" si="22"/>
        <v>sachin JOSHI</v>
      </c>
      <c r="AQ52" t="str">
        <f t="shared" si="23"/>
        <v>Pune, MAHARASHTRA</v>
      </c>
      <c r="AR52" t="str">
        <f t="shared" si="24"/>
        <v>prd-proj-051:EPSON eb-s05 PROJECTOR</v>
      </c>
      <c r="AS52" t="str">
        <f t="shared" si="25"/>
        <v>SACHIN.JOSHI@COMPANY.IN|+91-9123456098</v>
      </c>
      <c r="AT52" t="str">
        <f t="shared" si="26"/>
        <v xml:space="preserve">  PROJECTOR solutions PRO  -PRESENTATION LEAD</v>
      </c>
      <c r="AU52" t="str">
        <f t="shared" si="27"/>
        <v>Corporate 05-Jan-2025</v>
      </c>
      <c r="AV52" t="str">
        <f t="shared" si="28"/>
        <v>852 Aundh,Pune, MAHARASHTRA,411007</v>
      </c>
      <c r="AW52" t="str">
        <f t="shared" si="29"/>
        <v>dept-pres-051_PRESENTATION LEAD</v>
      </c>
      <c r="AX52" t="str">
        <f t="shared" si="30"/>
        <v>Customer ID:Cust051</v>
      </c>
      <c r="AY52" t="str">
        <f t="shared" si="31"/>
        <v>Email:SACHIN.JOSHI@COMPANY.IN</v>
      </c>
      <c r="AZ52" t="str">
        <f t="shared" si="32"/>
        <v>https://www.projectors.in/contact</v>
      </c>
      <c r="BA52" t="str">
        <f t="shared" si="33"/>
        <v>Order Placed On 05-Jan-2025</v>
      </c>
      <c r="BB52" t="str">
        <f t="shared" si="34"/>
        <v>sachin JOSHI  (Corporate)</v>
      </c>
      <c r="BC52" t="str">
        <f t="shared" si="35"/>
        <v>prd-proj-051/EPSON eb-s05 PROJECTOR</v>
      </c>
      <c r="BD52" t="str">
        <f t="shared" si="36"/>
        <v>call +91-9123456098</v>
      </c>
      <c r="BE52" t="str">
        <f t="shared" si="37"/>
        <v xml:space="preserve">  PROJECTOR solutions PRO  -dept-pres-051</v>
      </c>
      <c r="BF52" t="str">
        <f t="shared" si="38"/>
        <v>Cust051-51</v>
      </c>
      <c r="BG52" t="str">
        <f t="shared" si="39"/>
        <v>Customer: sachin JOSHI  ,Type: Corporate</v>
      </c>
      <c r="BH52" t="str">
        <f t="shared" si="40"/>
        <v>Pune,india</v>
      </c>
      <c r="BI52" t="str">
        <f t="shared" si="41"/>
        <v>Cust</v>
      </c>
      <c r="BJ52" t="str">
        <f t="shared" si="42"/>
        <v>SACHIN.JOS</v>
      </c>
      <c r="BK52" t="str">
        <f t="shared" si="43"/>
        <v xml:space="preserve">sachin </v>
      </c>
      <c r="BL52" t="str">
        <f t="shared" si="44"/>
        <v>prd-p</v>
      </c>
      <c r="BM52" t="str">
        <f t="shared" si="45"/>
        <v>Cor</v>
      </c>
      <c r="BN52" t="str">
        <f t="shared" si="46"/>
        <v>+91-9123</v>
      </c>
      <c r="BO52" t="str">
        <f t="shared" si="47"/>
        <v>COMPANY.IN</v>
      </c>
      <c r="BP52" t="str">
        <f t="shared" si="48"/>
        <v>Pune</v>
      </c>
      <c r="BQ52" t="str">
        <f t="shared" si="49"/>
        <v>t051</v>
      </c>
      <c r="BR52" t="str">
        <f t="shared" si="50"/>
        <v xml:space="preserve"> JOSHI</v>
      </c>
      <c r="BS52" t="str">
        <f t="shared" si="51"/>
        <v>oj-051</v>
      </c>
      <c r="BU52" t="str">
        <f t="shared" si="52"/>
        <v>56098</v>
      </c>
      <c r="BV52" t="str">
        <f t="shared" si="53"/>
        <v>411007</v>
      </c>
      <c r="BW52" t="str">
        <f t="shared" si="54"/>
        <v xml:space="preserve"> MAHARASHTRA</v>
      </c>
      <c r="BX52" t="str">
        <f t="shared" si="55"/>
        <v>051</v>
      </c>
      <c r="BY52" t="str">
        <f t="shared" si="56"/>
        <v>pres</v>
      </c>
      <c r="BZ52" t="str">
        <f t="shared" si="57"/>
        <v>proj</v>
      </c>
      <c r="CA52" t="str">
        <f t="shared" si="58"/>
        <v>Jan</v>
      </c>
      <c r="CB52" t="str">
        <f t="shared" si="59"/>
        <v>PROJE</v>
      </c>
      <c r="CC52">
        <f t="shared" si="60"/>
        <v>13</v>
      </c>
      <c r="CD52">
        <f t="shared" si="61"/>
        <v>14</v>
      </c>
      <c r="CE52">
        <f t="shared" si="62"/>
        <v>23</v>
      </c>
      <c r="CF52">
        <f t="shared" si="63"/>
        <v>7</v>
      </c>
      <c r="CG52">
        <f t="shared" si="64"/>
        <v>22</v>
      </c>
      <c r="CH52">
        <f t="shared" si="65"/>
        <v>5</v>
      </c>
      <c r="CI52">
        <f t="shared" si="66"/>
        <v>7</v>
      </c>
      <c r="CJ52">
        <f t="shared" si="67"/>
        <v>9</v>
      </c>
      <c r="CK52">
        <f t="shared" si="68"/>
        <v>14</v>
      </c>
      <c r="CL52">
        <f t="shared" si="69"/>
        <v>4</v>
      </c>
      <c r="CM52">
        <f t="shared" si="70"/>
        <v>9</v>
      </c>
      <c r="CN52">
        <f t="shared" si="71"/>
        <v>7</v>
      </c>
      <c r="CO52">
        <f t="shared" si="72"/>
        <v>23</v>
      </c>
      <c r="CP52">
        <f t="shared" si="73"/>
        <v>9</v>
      </c>
      <c r="CQ52">
        <f t="shared" si="74"/>
        <v>13</v>
      </c>
      <c r="CR52">
        <f t="shared" si="75"/>
        <v>7</v>
      </c>
      <c r="CS52">
        <f t="shared" si="76"/>
        <v>9</v>
      </c>
      <c r="CT52">
        <f t="shared" si="77"/>
        <v>9</v>
      </c>
      <c r="CU52">
        <f t="shared" si="78"/>
        <v>27</v>
      </c>
      <c r="CV52">
        <f t="shared" si="79"/>
        <v>3</v>
      </c>
      <c r="CW52" t="str">
        <f t="shared" si="80"/>
        <v>Customer ID051</v>
      </c>
      <c r="CX52" t="str">
        <f t="shared" si="81"/>
        <v>SACHIN.JOSHI[AT]COMPANY.IN</v>
      </c>
      <c r="CY52" t="str">
        <f t="shared" si="82"/>
        <v>Product-PROJ-051</v>
      </c>
      <c r="CZ52" t="str">
        <f t="shared" si="83"/>
        <v>prd_proj_051</v>
      </c>
      <c r="DA52" t="str">
        <f t="shared" si="84"/>
        <v>DEPARTMENT-PRES-051</v>
      </c>
      <c r="DB52" t="str">
        <f t="shared" si="85"/>
        <v>SACHIN.JOSHI@COMPANY.IN</v>
      </c>
      <c r="DC52" t="str">
        <f t="shared" si="86"/>
        <v>HTTPS://https://www..PROJECTORS.IN</v>
      </c>
      <c r="DD52" t="str">
        <f t="shared" si="87"/>
        <v>sachin/JOSHI//</v>
      </c>
      <c r="DE52" t="str">
        <f t="shared" si="88"/>
        <v>Corporate</v>
      </c>
      <c r="DF52" t="str">
        <f t="shared" si="89"/>
        <v>Pune; MAHARASHTRA;411007</v>
      </c>
      <c r="DG52" t="str">
        <f t="shared" si="90"/>
        <v>PRESENTATION LEAD</v>
      </c>
      <c r="DH52" t="str">
        <f t="shared" si="91"/>
        <v>+91-9123456098</v>
      </c>
      <c r="DI52" t="str">
        <f t="shared" si="92"/>
        <v xml:space="preserve">  PROJECTOR solutions PRO  </v>
      </c>
      <c r="DJ52" t="str">
        <f t="shared" si="93"/>
        <v>https:://www.projectors.in</v>
      </c>
      <c r="DK52" t="str">
        <f t="shared" si="94"/>
        <v>852  Aundh</v>
      </c>
      <c r="DL52" t="str">
        <f t="shared" si="95"/>
        <v>SACHIN.JOSHI</v>
      </c>
      <c r="DM52" t="str">
        <f t="shared" si="96"/>
        <v>sachin.JOSHI@  PROJECTOR solutions PRO  .com</v>
      </c>
      <c r="DN52" t="str">
        <f t="shared" si="97"/>
        <v>sachin</v>
      </c>
      <c r="DO52" t="str">
        <f t="shared" si="98"/>
        <v>JOSHI</v>
      </c>
      <c r="DP52" t="str">
        <f t="shared" si="99"/>
        <v>JOSHI,sachin</v>
      </c>
      <c r="DQ52" t="str">
        <f t="shared" si="100"/>
        <v>Name has12characters</v>
      </c>
      <c r="DR52" t="str">
        <f t="shared" si="101"/>
        <v>Check Domain</v>
      </c>
      <c r="DS52" t="str">
        <f t="shared" si="102"/>
        <v>+91-</v>
      </c>
      <c r="DT52" t="str">
        <f t="shared" si="103"/>
        <v>Cus051</v>
      </c>
      <c r="DU52" t="str">
        <f t="shared" si="104"/>
        <v>sjoshi</v>
      </c>
      <c r="DV52" t="str">
        <f t="shared" si="105"/>
        <v>prd051</v>
      </c>
      <c r="DW52" t="str">
        <f t="shared" si="106"/>
        <v>+91-9123456098</v>
      </c>
      <c r="DX52" t="str">
        <f t="shared" si="107"/>
        <v>2025</v>
      </c>
      <c r="DY52" t="str">
        <f t="shared" si="108"/>
        <v>s</v>
      </c>
      <c r="DZ52" t="str">
        <f t="shared" si="109"/>
        <v>sachinJOSHI@  PROJECTOR solutions PRO  .com</v>
      </c>
      <c r="EA52" t="str">
        <f t="shared" si="110"/>
        <v/>
      </c>
      <c r="EB52" t="str">
        <f t="shared" si="111"/>
        <v>COMPANY.IN</v>
      </c>
      <c r="EC52">
        <f t="shared" si="112"/>
        <v>22</v>
      </c>
      <c r="ED52" t="str">
        <f t="shared" si="113"/>
        <v>Pu51</v>
      </c>
      <c r="EE52" t="str">
        <f t="shared" si="114"/>
        <v>Pune- MAHARASHTRA(411007)</v>
      </c>
      <c r="EF52" t="str">
        <f t="shared" si="115"/>
        <v>919123456098</v>
      </c>
      <c r="EG52" t="str">
        <f t="shared" si="116"/>
        <v>CUST-051</v>
      </c>
      <c r="EH52" t="str">
        <f t="shared" si="117"/>
        <v>public</v>
      </c>
      <c r="EI52" t="str">
        <f t="shared" si="118"/>
        <v>PRD-051-05Jan25</v>
      </c>
      <c r="EJ52" t="str">
        <f t="shared" si="119"/>
        <v>Corporate</v>
      </c>
    </row>
    <row r="53" spans="1:140" x14ac:dyDescent="0.3">
      <c r="A53" t="s">
        <v>680</v>
      </c>
      <c r="B53" t="s">
        <v>1512</v>
      </c>
      <c r="C53" t="s">
        <v>1434</v>
      </c>
      <c r="D53" t="s">
        <v>681</v>
      </c>
      <c r="E53" t="s">
        <v>682</v>
      </c>
      <c r="F53" t="s">
        <v>683</v>
      </c>
      <c r="G53" t="s">
        <v>684</v>
      </c>
      <c r="H53" t="s">
        <v>1659</v>
      </c>
      <c r="I53" t="s">
        <v>1635</v>
      </c>
      <c r="J53">
        <v>282002</v>
      </c>
      <c r="K53" t="str">
        <f t="shared" si="9"/>
        <v>agra, UTTAR PRADESH,282002</v>
      </c>
      <c r="L53" t="s">
        <v>685</v>
      </c>
      <c r="M53" t="s">
        <v>686</v>
      </c>
      <c r="N53" t="s">
        <v>687</v>
      </c>
      <c r="O53" t="s">
        <v>78</v>
      </c>
      <c r="P53" t="s">
        <v>688</v>
      </c>
      <c r="Q53" t="s">
        <v>689</v>
      </c>
      <c r="R53" t="s">
        <v>690</v>
      </c>
      <c r="S53" t="s">
        <v>691</v>
      </c>
      <c r="T53" t="s">
        <v>692</v>
      </c>
      <c r="U53" t="str">
        <f t="shared" si="120"/>
        <v>KOMAL GUPTA</v>
      </c>
      <c r="V53" t="str">
        <f t="shared" si="121"/>
        <v>komal.gupta@mail.in</v>
      </c>
      <c r="W53" t="str">
        <f t="shared" si="10"/>
        <v>Agra</v>
      </c>
      <c r="X53" t="str">
        <f t="shared" si="122"/>
        <v>komal gupta</v>
      </c>
      <c r="Y53" t="str">
        <f t="shared" si="11"/>
        <v>RETAIL</v>
      </c>
      <c r="Z53" t="str">
        <f t="shared" si="12"/>
        <v>screen world</v>
      </c>
      <c r="AA53" t="str">
        <f t="shared" si="13"/>
        <v>Av Manager</v>
      </c>
      <c r="AB53" t="str">
        <f t="shared" si="123"/>
        <v>963 Sanjay Place</v>
      </c>
      <c r="AC53" t="str">
        <f t="shared" si="14"/>
        <v>DEPT-AV-052</v>
      </c>
      <c r="AD53" t="str">
        <f t="shared" si="15"/>
        <v>Visiontek Projector Screen 100 Inch</v>
      </c>
      <c r="AE53" t="str">
        <f t="shared" si="16"/>
        <v>www.screens.com</v>
      </c>
      <c r="AF53" t="str">
        <f t="shared" si="17"/>
        <v>Motorized option available?</v>
      </c>
      <c r="AG53" t="str">
        <f t="shared" si="124"/>
        <v>CUST052</v>
      </c>
      <c r="AH53" t="str">
        <f t="shared" si="18"/>
        <v>PRD-SCREEN-052</v>
      </c>
      <c r="AI53" t="str">
        <f t="shared" si="125"/>
        <v>Komal Gupta</v>
      </c>
      <c r="AJ53" t="str">
        <f t="shared" si="126"/>
        <v>(0562) 9876-5432</v>
      </c>
      <c r="AK53" t="str">
        <f t="shared" si="19"/>
        <v>retail</v>
      </c>
      <c r="AL53" t="str">
        <f t="shared" si="20"/>
        <v>Screen World</v>
      </c>
      <c r="AM53" t="str">
        <f t="shared" si="127"/>
        <v>komal.gupta@mail.in</v>
      </c>
      <c r="AN53" t="str">
        <f t="shared" si="21"/>
        <v>AV MANAGER</v>
      </c>
      <c r="AO53" t="str">
        <f t="shared" si="128"/>
        <v>CUST052-komal gupta</v>
      </c>
      <c r="AP53" t="str">
        <f t="shared" si="22"/>
        <v>komal gupta</v>
      </c>
      <c r="AQ53" t="str">
        <f t="shared" si="23"/>
        <v>agra, UTTAR PRADESH</v>
      </c>
      <c r="AR53" t="str">
        <f t="shared" si="24"/>
        <v>prd-screen-052:VISIONTEK projector SCREEN 100 inch</v>
      </c>
      <c r="AS53" t="str">
        <f t="shared" si="25"/>
        <v>komal.gupta@mail.in|(0562) 9876-5432</v>
      </c>
      <c r="AT53" t="str">
        <f t="shared" si="26"/>
        <v>screen WORLD-AV Manager</v>
      </c>
      <c r="AU53" t="str">
        <f t="shared" si="27"/>
        <v>retail 12-Jan-2025</v>
      </c>
      <c r="AV53" t="str">
        <f t="shared" si="28"/>
        <v>963 Sanjay Place,agra, UTTAR PRADESH,282002</v>
      </c>
      <c r="AW53" t="str">
        <f t="shared" si="29"/>
        <v>dept-av-052_AV Manager</v>
      </c>
      <c r="AX53" t="str">
        <f t="shared" si="30"/>
        <v>Customer ID:CUST052</v>
      </c>
      <c r="AY53" t="str">
        <f t="shared" si="31"/>
        <v>Email:komal.gupta@mail.in</v>
      </c>
      <c r="AZ53" t="str">
        <f t="shared" si="32"/>
        <v>WWW.SCREENS.COM/contact</v>
      </c>
      <c r="BA53" t="str">
        <f t="shared" si="33"/>
        <v>Order Placed On 12-Jan-2025</v>
      </c>
      <c r="BB53" t="str">
        <f t="shared" si="34"/>
        <v>komal gupta(retail)</v>
      </c>
      <c r="BC53" t="str">
        <f t="shared" si="35"/>
        <v>prd-screen-052/VISIONTEK projector SCREEN 100 inch</v>
      </c>
      <c r="BD53" t="str">
        <f t="shared" si="36"/>
        <v>call (0562) 9876-5432</v>
      </c>
      <c r="BE53" t="str">
        <f t="shared" si="37"/>
        <v>screen WORLD-dept-av-052</v>
      </c>
      <c r="BF53" t="str">
        <f t="shared" si="38"/>
        <v>CUST052-52</v>
      </c>
      <c r="BG53" t="str">
        <f t="shared" si="39"/>
        <v>Customer: komal gupta,Type: retail</v>
      </c>
      <c r="BH53" t="str">
        <f t="shared" si="40"/>
        <v>agra,india</v>
      </c>
      <c r="BI53" t="str">
        <f t="shared" si="41"/>
        <v>CUST</v>
      </c>
      <c r="BJ53" t="str">
        <f t="shared" si="42"/>
        <v>komal.gupt</v>
      </c>
      <c r="BK53" t="str">
        <f t="shared" si="43"/>
        <v xml:space="preserve">komal </v>
      </c>
      <c r="BL53" t="str">
        <f t="shared" si="44"/>
        <v>prd-s</v>
      </c>
      <c r="BM53" t="str">
        <f t="shared" si="45"/>
        <v>ret</v>
      </c>
      <c r="BN53" t="str">
        <f t="shared" si="46"/>
        <v>(0562) 9</v>
      </c>
      <c r="BO53" t="str">
        <f t="shared" si="47"/>
        <v>mail.in</v>
      </c>
      <c r="BP53" t="str">
        <f t="shared" si="48"/>
        <v>agra</v>
      </c>
      <c r="BQ53" t="str">
        <f t="shared" si="49"/>
        <v>T052</v>
      </c>
      <c r="BR53" t="str">
        <f t="shared" si="50"/>
        <v>gupta</v>
      </c>
      <c r="BS53" t="str">
        <f t="shared" si="51"/>
        <v>en-052</v>
      </c>
      <c r="BU53" t="str">
        <f t="shared" si="52"/>
        <v>-5432</v>
      </c>
      <c r="BV53" t="str">
        <f t="shared" si="53"/>
        <v>282002</v>
      </c>
      <c r="BW53" t="str">
        <f t="shared" si="54"/>
        <v xml:space="preserve"> UTTAR PRADESH</v>
      </c>
      <c r="BX53" t="str">
        <f t="shared" si="55"/>
        <v>052</v>
      </c>
      <c r="BY53" t="str">
        <f t="shared" si="56"/>
        <v>av</v>
      </c>
      <c r="BZ53" t="str">
        <f t="shared" si="57"/>
        <v>screen</v>
      </c>
      <c r="CA53" t="str">
        <f t="shared" si="58"/>
        <v>Jan</v>
      </c>
      <c r="CB53" t="str">
        <f t="shared" si="59"/>
        <v xml:space="preserve">reen </v>
      </c>
      <c r="CC53">
        <f t="shared" si="60"/>
        <v>12</v>
      </c>
      <c r="CD53">
        <f t="shared" si="61"/>
        <v>11</v>
      </c>
      <c r="CE53">
        <f t="shared" si="62"/>
        <v>19</v>
      </c>
      <c r="CF53">
        <f t="shared" si="63"/>
        <v>6</v>
      </c>
      <c r="CG53">
        <f t="shared" si="64"/>
        <v>35</v>
      </c>
      <c r="CH53">
        <f t="shared" si="65"/>
        <v>5</v>
      </c>
      <c r="CI53">
        <f t="shared" si="66"/>
        <v>7</v>
      </c>
      <c r="CJ53" t="str">
        <f t="shared" si="67"/>
        <v>Not found</v>
      </c>
      <c r="CK53">
        <f t="shared" si="68"/>
        <v>16</v>
      </c>
      <c r="CL53">
        <f t="shared" si="69"/>
        <v>4</v>
      </c>
      <c r="CM53">
        <f t="shared" si="70"/>
        <v>16</v>
      </c>
      <c r="CN53">
        <f t="shared" si="71"/>
        <v>6</v>
      </c>
      <c r="CO53">
        <f t="shared" si="72"/>
        <v>12</v>
      </c>
      <c r="CP53">
        <f t="shared" si="73"/>
        <v>11</v>
      </c>
      <c r="CQ53">
        <f t="shared" si="74"/>
        <v>11</v>
      </c>
      <c r="CR53" t="str">
        <f t="shared" si="75"/>
        <v>not found</v>
      </c>
      <c r="CS53">
        <f t="shared" si="76"/>
        <v>6</v>
      </c>
      <c r="CT53">
        <f t="shared" si="77"/>
        <v>11</v>
      </c>
      <c r="CU53">
        <f t="shared" si="78"/>
        <v>31</v>
      </c>
      <c r="CV53">
        <f t="shared" si="79"/>
        <v>3</v>
      </c>
      <c r="CW53" t="str">
        <f t="shared" si="80"/>
        <v>Customer ID052</v>
      </c>
      <c r="CX53" t="str">
        <f t="shared" si="81"/>
        <v>komal.gupta[AT]mail.in</v>
      </c>
      <c r="CY53" t="str">
        <f t="shared" si="82"/>
        <v>Product-SCREEN-052</v>
      </c>
      <c r="CZ53" t="str">
        <f t="shared" si="83"/>
        <v>prd_screen_052</v>
      </c>
      <c r="DA53" t="str">
        <f t="shared" si="84"/>
        <v>DEPARTMENT-AV-052</v>
      </c>
      <c r="DB53" t="str">
        <f t="shared" si="85"/>
        <v>KOMAL.GUPTA@MAIL.IN</v>
      </c>
      <c r="DC53" t="str">
        <f t="shared" si="86"/>
        <v>https://www..SCREENS.COM</v>
      </c>
      <c r="DD53" t="str">
        <f t="shared" si="87"/>
        <v>komal/gupta</v>
      </c>
      <c r="DE53" t="str">
        <f t="shared" si="88"/>
        <v>RETAIL CUSTOMER</v>
      </c>
      <c r="DF53" t="str">
        <f t="shared" si="89"/>
        <v>agra; UTTAR PRADESH;282002</v>
      </c>
      <c r="DG53" t="str">
        <f t="shared" si="90"/>
        <v>AV Manager</v>
      </c>
      <c r="DH53" t="str">
        <f t="shared" si="91"/>
        <v xml:space="preserve"> 0562  9876-5432</v>
      </c>
      <c r="DI53" t="str">
        <f t="shared" si="92"/>
        <v>screen WORLD</v>
      </c>
      <c r="DJ53" t="str">
        <f t="shared" si="93"/>
        <v>WWW.SCREENS.COM</v>
      </c>
      <c r="DK53" t="str">
        <f t="shared" si="94"/>
        <v>963  Sanjay  Place</v>
      </c>
      <c r="DL53" t="str">
        <f t="shared" si="95"/>
        <v>komal.gupta</v>
      </c>
      <c r="DM53" t="str">
        <f t="shared" si="96"/>
        <v>komal.gupta@screen WORLD.com</v>
      </c>
      <c r="DN53" t="str">
        <f t="shared" si="97"/>
        <v>komal</v>
      </c>
      <c r="DO53" t="str">
        <f t="shared" si="98"/>
        <v>gupta</v>
      </c>
      <c r="DP53" t="str">
        <f t="shared" si="99"/>
        <v>gupta,komal</v>
      </c>
      <c r="DQ53" t="str">
        <f t="shared" si="100"/>
        <v>Name has11characters</v>
      </c>
      <c r="DR53" t="str">
        <f t="shared" si="101"/>
        <v>Check Domain</v>
      </c>
      <c r="DS53" t="str">
        <f t="shared" si="102"/>
        <v>(056</v>
      </c>
      <c r="DT53" t="str">
        <f t="shared" si="103"/>
        <v>CUS052</v>
      </c>
      <c r="DU53" t="str">
        <f t="shared" si="104"/>
        <v>kgupta</v>
      </c>
      <c r="DV53" t="str">
        <f t="shared" si="105"/>
        <v>prd052</v>
      </c>
      <c r="DW53" t="str">
        <f t="shared" si="106"/>
        <v>(0562) 9876-5432</v>
      </c>
      <c r="DX53" t="str">
        <f t="shared" si="107"/>
        <v>2025</v>
      </c>
      <c r="DY53" t="str">
        <f t="shared" si="108"/>
        <v>k</v>
      </c>
      <c r="DZ53" t="str">
        <f t="shared" si="109"/>
        <v>komalgupta@screen WORLD.com</v>
      </c>
      <c r="EA53" t="str">
        <f t="shared" si="110"/>
        <v>Retail</v>
      </c>
      <c r="EB53" t="str">
        <f t="shared" si="111"/>
        <v>mail.in</v>
      </c>
      <c r="EC53">
        <f t="shared" si="112"/>
        <v>35</v>
      </c>
      <c r="ED53" t="str">
        <f t="shared" si="113"/>
        <v>ag52</v>
      </c>
      <c r="EE53" t="str">
        <f t="shared" si="114"/>
        <v>agra- UTTAR PRADESH(282002)</v>
      </c>
      <c r="EF53" t="str">
        <f t="shared" si="115"/>
        <v>056298765432</v>
      </c>
      <c r="EG53" t="str">
        <f t="shared" si="116"/>
        <v>CUST-052</v>
      </c>
      <c r="EH53" t="str">
        <f t="shared" si="117"/>
        <v>public</v>
      </c>
      <c r="EI53" t="str">
        <f t="shared" si="118"/>
        <v>PRD-052-12Jan25</v>
      </c>
      <c r="EJ53" t="str">
        <f t="shared" si="119"/>
        <v>Retail</v>
      </c>
    </row>
    <row r="54" spans="1:140" x14ac:dyDescent="0.3">
      <c r="A54" t="s">
        <v>693</v>
      </c>
      <c r="B54" t="s">
        <v>1513</v>
      </c>
      <c r="C54" t="s">
        <v>1514</v>
      </c>
      <c r="D54" t="s">
        <v>694</v>
      </c>
      <c r="E54" t="s">
        <v>695</v>
      </c>
      <c r="F54" t="s">
        <v>696</v>
      </c>
      <c r="G54" t="s">
        <v>697</v>
      </c>
      <c r="H54" t="s">
        <v>1660</v>
      </c>
      <c r="I54" t="s">
        <v>1620</v>
      </c>
      <c r="J54">
        <v>211001</v>
      </c>
      <c r="K54" t="str">
        <f t="shared" si="9"/>
        <v>ALLAHABAD, Uttar Pradesh,211001</v>
      </c>
      <c r="L54" t="s">
        <v>698</v>
      </c>
      <c r="M54" t="s">
        <v>699</v>
      </c>
      <c r="N54" t="s">
        <v>700</v>
      </c>
      <c r="O54" t="s">
        <v>92</v>
      </c>
      <c r="P54" t="s">
        <v>701</v>
      </c>
      <c r="Q54" t="s">
        <v>702</v>
      </c>
      <c r="R54" t="s">
        <v>703</v>
      </c>
      <c r="S54" t="s">
        <v>704</v>
      </c>
      <c r="T54" t="s">
        <v>705</v>
      </c>
      <c r="U54" t="str">
        <f t="shared" si="120"/>
        <v xml:space="preserve">  PANKAJ MISHRA</v>
      </c>
      <c r="V54" t="str">
        <f t="shared" si="121"/>
        <v>pankaj_mishra@email.in</v>
      </c>
      <c r="W54" t="str">
        <f t="shared" si="10"/>
        <v>Allahabad</v>
      </c>
      <c r="X54" t="str">
        <f t="shared" si="122"/>
        <v>PANKAJ mishra</v>
      </c>
      <c r="Y54" t="str">
        <f t="shared" si="11"/>
        <v>WHOLESALE</v>
      </c>
      <c r="Z54" t="str">
        <f t="shared" si="12"/>
        <v>presenter store india</v>
      </c>
      <c r="AA54" t="str">
        <f t="shared" si="13"/>
        <v>Training Manager</v>
      </c>
      <c r="AB54" t="str">
        <f t="shared" si="123"/>
        <v>159 Civil Lines</v>
      </c>
      <c r="AC54" t="str">
        <f t="shared" si="14"/>
        <v>DEPT-TRAIN-053</v>
      </c>
      <c r="AD54" t="str">
        <f t="shared" si="15"/>
        <v>Logitech Wireless Presenter</v>
      </c>
      <c r="AE54" t="str">
        <f t="shared" si="16"/>
        <v>www.presenters.in</v>
      </c>
      <c r="AF54" t="str">
        <f t="shared" si="17"/>
        <v>Range: 30 meters minimum</v>
      </c>
      <c r="AG54" t="str">
        <f t="shared" si="124"/>
        <v>CUST053</v>
      </c>
      <c r="AH54" t="str">
        <f t="shared" si="18"/>
        <v>PRD-POINT-053</v>
      </c>
      <c r="AI54" t="str">
        <f t="shared" si="125"/>
        <v xml:space="preserve">  Pankaj Mishra</v>
      </c>
      <c r="AJ54" t="str">
        <f t="shared" si="126"/>
        <v>0532-3698741</v>
      </c>
      <c r="AK54" t="str">
        <f t="shared" si="19"/>
        <v>wholesale</v>
      </c>
      <c r="AL54" t="str">
        <f t="shared" si="20"/>
        <v>Presenter Store India</v>
      </c>
      <c r="AM54" t="str">
        <f t="shared" si="127"/>
        <v>pankaj_mishra@email.in</v>
      </c>
      <c r="AN54" t="str">
        <f t="shared" si="21"/>
        <v>TRAINING MANAGER</v>
      </c>
      <c r="AO54" t="str">
        <f t="shared" si="128"/>
        <v>cust053-  PANKAJ mishra</v>
      </c>
      <c r="AP54" t="str">
        <f t="shared" si="22"/>
        <v>PANKAJ mishra</v>
      </c>
      <c r="AQ54" t="str">
        <f t="shared" si="23"/>
        <v>ALLAHABAD, Uttar Pradesh</v>
      </c>
      <c r="AR54" t="str">
        <f t="shared" si="24"/>
        <v>PRD-POINT-053:logitech WIRELESS presenter</v>
      </c>
      <c r="AS54" t="str">
        <f t="shared" si="25"/>
        <v>pankaj_mishra@email.in|0532-3698741</v>
      </c>
      <c r="AT54" t="str">
        <f t="shared" si="26"/>
        <v>PRESENTER store INDIA-Training Manager</v>
      </c>
      <c r="AU54" t="str">
        <f t="shared" si="27"/>
        <v>WholeSale 19-Jan-2025</v>
      </c>
      <c r="AV54" t="str">
        <f t="shared" si="28"/>
        <v xml:space="preserve">  159 Civil Lines  ,ALLAHABAD, Uttar Pradesh,211001</v>
      </c>
      <c r="AW54" t="str">
        <f t="shared" si="29"/>
        <v>DEPT-TRAIN-053_Training Manager</v>
      </c>
      <c r="AX54" t="str">
        <f t="shared" si="30"/>
        <v>Customer ID:cust053</v>
      </c>
      <c r="AY54" t="str">
        <f t="shared" si="31"/>
        <v>Email:pankaj_mishra@email.in</v>
      </c>
      <c r="AZ54" t="str">
        <f t="shared" si="32"/>
        <v>www.presenters.in/contact</v>
      </c>
      <c r="BA54" t="str">
        <f t="shared" si="33"/>
        <v>Order Placed On 19-Jan-2025</v>
      </c>
      <c r="BB54" t="str">
        <f t="shared" si="34"/>
        <v xml:space="preserve">  PANKAJ mishra(WholeSale)</v>
      </c>
      <c r="BC54" t="str">
        <f t="shared" si="35"/>
        <v>PRD-POINT-053/logitech WIRELESS presenter</v>
      </c>
      <c r="BD54" t="str">
        <f t="shared" si="36"/>
        <v>call 0532-3698741</v>
      </c>
      <c r="BE54" t="str">
        <f t="shared" si="37"/>
        <v>PRESENTER store INDIA-DEPT-TRAIN-053</v>
      </c>
      <c r="BF54" t="str">
        <f t="shared" si="38"/>
        <v>cust053-53</v>
      </c>
      <c r="BG54" t="str">
        <f t="shared" si="39"/>
        <v>Customer:   PANKAJ mishra,Type: WholeSale</v>
      </c>
      <c r="BH54" t="str">
        <f t="shared" si="40"/>
        <v>ALLAHABAD,india</v>
      </c>
      <c r="BI54" t="str">
        <f t="shared" si="41"/>
        <v>cust</v>
      </c>
      <c r="BJ54" t="str">
        <f t="shared" si="42"/>
        <v>pankaj_mis</v>
      </c>
      <c r="BK54" t="str">
        <f t="shared" si="43"/>
        <v xml:space="preserve">PANKAJ </v>
      </c>
      <c r="BL54" t="str">
        <f t="shared" si="44"/>
        <v>PRD-P</v>
      </c>
      <c r="BM54" t="str">
        <f t="shared" si="45"/>
        <v>Who</v>
      </c>
      <c r="BN54" t="str">
        <f t="shared" si="46"/>
        <v>0532-369</v>
      </c>
      <c r="BO54" t="str">
        <f t="shared" si="47"/>
        <v>email.in</v>
      </c>
      <c r="BP54" t="str">
        <f t="shared" si="48"/>
        <v>ALLAHABAD</v>
      </c>
      <c r="BQ54" t="str">
        <f t="shared" si="49"/>
        <v>t053</v>
      </c>
      <c r="BR54" t="str">
        <f t="shared" si="50"/>
        <v>mishra</v>
      </c>
      <c r="BS54" t="str">
        <f t="shared" si="51"/>
        <v>NT-053</v>
      </c>
      <c r="BU54" t="str">
        <f t="shared" si="52"/>
        <v>98741</v>
      </c>
      <c r="BV54" t="str">
        <f t="shared" si="53"/>
        <v>211001</v>
      </c>
      <c r="BW54" t="str">
        <f t="shared" si="54"/>
        <v xml:space="preserve"> Uttar Pradesh</v>
      </c>
      <c r="BX54" t="str">
        <f t="shared" si="55"/>
        <v>053</v>
      </c>
      <c r="BY54" t="str">
        <f t="shared" si="56"/>
        <v>TRAIN</v>
      </c>
      <c r="BZ54" t="str">
        <f t="shared" si="57"/>
        <v>POINT</v>
      </c>
      <c r="CA54" t="str">
        <f t="shared" si="58"/>
        <v>Jan</v>
      </c>
      <c r="CB54" t="str">
        <f t="shared" si="59"/>
        <v>ESENT</v>
      </c>
      <c r="CC54">
        <f t="shared" si="60"/>
        <v>14</v>
      </c>
      <c r="CD54">
        <f t="shared" si="61"/>
        <v>15</v>
      </c>
      <c r="CE54">
        <f t="shared" si="62"/>
        <v>22</v>
      </c>
      <c r="CF54">
        <f t="shared" si="63"/>
        <v>1</v>
      </c>
      <c r="CG54">
        <f t="shared" si="64"/>
        <v>27</v>
      </c>
      <c r="CH54">
        <f t="shared" si="65"/>
        <v>10</v>
      </c>
      <c r="CI54">
        <f t="shared" si="66"/>
        <v>7</v>
      </c>
      <c r="CJ54">
        <f t="shared" si="67"/>
        <v>1</v>
      </c>
      <c r="CK54">
        <f t="shared" si="68"/>
        <v>12</v>
      </c>
      <c r="CL54">
        <f t="shared" si="69"/>
        <v>4</v>
      </c>
      <c r="CM54">
        <f t="shared" si="70"/>
        <v>19</v>
      </c>
      <c r="CN54">
        <f t="shared" si="71"/>
        <v>20</v>
      </c>
      <c r="CO54">
        <f t="shared" si="72"/>
        <v>21</v>
      </c>
      <c r="CP54">
        <f t="shared" si="73"/>
        <v>10</v>
      </c>
      <c r="CQ54">
        <f t="shared" si="74"/>
        <v>14</v>
      </c>
      <c r="CR54" t="str">
        <f t="shared" si="75"/>
        <v>not found</v>
      </c>
      <c r="CS54">
        <f t="shared" si="76"/>
        <v>9</v>
      </c>
      <c r="CT54">
        <f t="shared" si="77"/>
        <v>10</v>
      </c>
      <c r="CU54">
        <f t="shared" si="78"/>
        <v>24</v>
      </c>
      <c r="CV54">
        <f t="shared" si="79"/>
        <v>3</v>
      </c>
      <c r="CW54" t="str">
        <f t="shared" si="80"/>
        <v>Customer ID053</v>
      </c>
      <c r="CX54" t="str">
        <f t="shared" si="81"/>
        <v>pankaj_mishra[AT]email.in</v>
      </c>
      <c r="CY54" t="str">
        <f t="shared" si="82"/>
        <v>Product-POINT-053</v>
      </c>
      <c r="CZ54" t="str">
        <f t="shared" si="83"/>
        <v>PRD_POINT_053</v>
      </c>
      <c r="DA54" t="str">
        <f t="shared" si="84"/>
        <v>DEPARTMENT-TRAIN-053</v>
      </c>
      <c r="DB54" t="str">
        <f t="shared" si="85"/>
        <v>PANKAJ_MISHRA@EMAIL.IN</v>
      </c>
      <c r="DC54" t="str">
        <f t="shared" si="86"/>
        <v>https://www..PRESENTERS.IN</v>
      </c>
      <c r="DD54" t="str">
        <f t="shared" si="87"/>
        <v>//PANKAJ/mishra</v>
      </c>
      <c r="DE54" t="str">
        <f t="shared" si="88"/>
        <v>WholeSale</v>
      </c>
      <c r="DF54" t="str">
        <f t="shared" si="89"/>
        <v>ALLAHABAD; Uttar Pradesh;211001</v>
      </c>
      <c r="DG54" t="str">
        <f t="shared" si="90"/>
        <v>Training Manager</v>
      </c>
      <c r="DH54" t="str">
        <f t="shared" si="91"/>
        <v>0532-3698741</v>
      </c>
      <c r="DI54" t="str">
        <f t="shared" si="92"/>
        <v>PRESENTER store INDIA</v>
      </c>
      <c r="DJ54" t="str">
        <f t="shared" si="93"/>
        <v>www.presenters.in</v>
      </c>
      <c r="DK54" t="str">
        <f t="shared" si="94"/>
        <v xml:space="preserve">    159  Civil  Lines    </v>
      </c>
      <c r="DL54" t="str">
        <f t="shared" si="95"/>
        <v>pankaj_mishra</v>
      </c>
      <c r="DM54" t="str">
        <f t="shared" si="96"/>
        <v>PANKAJ.mishra@PRESENTER store INDIA.com</v>
      </c>
      <c r="DN54" t="str">
        <f t="shared" si="97"/>
        <v>PANKAJ</v>
      </c>
      <c r="DO54" t="str">
        <f t="shared" si="98"/>
        <v>mishra</v>
      </c>
      <c r="DP54" t="str">
        <f t="shared" si="99"/>
        <v>mishra,PANKAJ</v>
      </c>
      <c r="DQ54" t="str">
        <f t="shared" si="100"/>
        <v>Name has13characters</v>
      </c>
      <c r="DR54" t="str">
        <f t="shared" si="101"/>
        <v>Check Domain</v>
      </c>
      <c r="DS54" t="str">
        <f t="shared" si="102"/>
        <v>0532</v>
      </c>
      <c r="DT54" t="str">
        <f t="shared" si="103"/>
        <v>cus053</v>
      </c>
      <c r="DU54" t="str">
        <f t="shared" si="104"/>
        <v>Pmishra</v>
      </c>
      <c r="DV54" t="str">
        <f t="shared" si="105"/>
        <v>PRD053</v>
      </c>
      <c r="DW54" t="str">
        <f t="shared" si="106"/>
        <v>0532-3698741</v>
      </c>
      <c r="DX54" t="str">
        <f t="shared" si="107"/>
        <v>2025</v>
      </c>
      <c r="DY54" t="str">
        <f t="shared" si="108"/>
        <v>P</v>
      </c>
      <c r="DZ54" t="str">
        <f t="shared" si="109"/>
        <v>PANKAJmishra@PRESENTER store INDIA.com</v>
      </c>
      <c r="EA54" t="str">
        <f t="shared" si="110"/>
        <v>Wholesale</v>
      </c>
      <c r="EB54" t="str">
        <f t="shared" si="111"/>
        <v>email.in</v>
      </c>
      <c r="EC54">
        <f t="shared" si="112"/>
        <v>27</v>
      </c>
      <c r="ED54" t="str">
        <f t="shared" si="113"/>
        <v>AL53</v>
      </c>
      <c r="EE54" t="str">
        <f t="shared" si="114"/>
        <v>ALLAHABAD- Uttar Pradesh(211001)</v>
      </c>
      <c r="EF54" t="str">
        <f t="shared" si="115"/>
        <v>05323698741</v>
      </c>
      <c r="EG54" t="str">
        <f t="shared" si="116"/>
        <v>CUST-053</v>
      </c>
      <c r="EH54" t="str">
        <f t="shared" si="117"/>
        <v>public</v>
      </c>
      <c r="EI54" t="str">
        <f t="shared" si="118"/>
        <v>PRD-053-19Jan25</v>
      </c>
      <c r="EJ54" t="str">
        <f t="shared" si="119"/>
        <v>Wholesale</v>
      </c>
    </row>
    <row r="55" spans="1:140" x14ac:dyDescent="0.3">
      <c r="A55" t="s">
        <v>706</v>
      </c>
      <c r="B55" t="s">
        <v>1515</v>
      </c>
      <c r="C55" t="s">
        <v>1426</v>
      </c>
      <c r="D55" t="s">
        <v>707</v>
      </c>
      <c r="E55" t="s">
        <v>708</v>
      </c>
      <c r="F55" t="s">
        <v>709</v>
      </c>
      <c r="G55" t="s">
        <v>710</v>
      </c>
      <c r="H55" t="s">
        <v>1661</v>
      </c>
      <c r="I55" t="s">
        <v>1662</v>
      </c>
      <c r="J55">
        <v>506001</v>
      </c>
      <c r="K55" t="str">
        <f t="shared" si="9"/>
        <v>Warangal, TELANGANA,506001</v>
      </c>
      <c r="L55" t="s">
        <v>711</v>
      </c>
      <c r="M55" t="s">
        <v>712</v>
      </c>
      <c r="N55" t="s">
        <v>713</v>
      </c>
      <c r="O55" t="s">
        <v>132</v>
      </c>
      <c r="P55" t="s">
        <v>714</v>
      </c>
      <c r="Q55" t="s">
        <v>715</v>
      </c>
      <c r="R55" t="s">
        <v>716</v>
      </c>
      <c r="S55" t="s">
        <v>717</v>
      </c>
      <c r="T55" t="s">
        <v>718</v>
      </c>
      <c r="U55" t="str">
        <f t="shared" si="120"/>
        <v xml:space="preserve">USHA REDDY  </v>
      </c>
      <c r="V55" t="str">
        <f t="shared" si="121"/>
        <v>usha.reddy@corporate.com</v>
      </c>
      <c r="W55" t="str">
        <f t="shared" si="10"/>
        <v>Warangal</v>
      </c>
      <c r="X55" t="str">
        <f t="shared" si="122"/>
        <v>usha REDDY</v>
      </c>
      <c r="Y55" t="str">
        <f t="shared" si="11"/>
        <v>CORPORATE</v>
      </c>
      <c r="Z55" t="str">
        <f t="shared" si="12"/>
        <v xml:space="preserve">  whiteboard solutions  </v>
      </c>
      <c r="AA55" t="str">
        <f t="shared" si="13"/>
        <v>Office Admin</v>
      </c>
      <c r="AB55" t="str">
        <f t="shared" si="123"/>
        <v>357 Hanumakonda</v>
      </c>
      <c r="AC55" t="str">
        <f t="shared" si="14"/>
        <v>DEPT-ADM-054</v>
      </c>
      <c r="AD55" t="str">
        <f t="shared" si="15"/>
        <v>Zebronics Whiteboard 4X6 Feet</v>
      </c>
      <c r="AE55" t="str">
        <f t="shared" si="16"/>
        <v>https://whiteboards.com</v>
      </c>
      <c r="AF55" t="str">
        <f t="shared" si="17"/>
        <v>Magnetic surface needed</v>
      </c>
      <c r="AG55" t="str">
        <f t="shared" si="124"/>
        <v>CUST054</v>
      </c>
      <c r="AH55" t="str">
        <f t="shared" si="18"/>
        <v>PRD-WHITE-054</v>
      </c>
      <c r="AI55" t="str">
        <f t="shared" si="125"/>
        <v xml:space="preserve">Usha Reddy  </v>
      </c>
      <c r="AJ55" t="str">
        <f t="shared" si="126"/>
        <v>+91-9988123456</v>
      </c>
      <c r="AK55" t="str">
        <f t="shared" si="19"/>
        <v>corporate</v>
      </c>
      <c r="AL55" t="str">
        <f t="shared" si="20"/>
        <v>Whiteboard Solutions</v>
      </c>
      <c r="AM55" t="str">
        <f t="shared" si="127"/>
        <v>usha.reddy@corporate.com</v>
      </c>
      <c r="AN55" t="str">
        <f t="shared" si="21"/>
        <v>OFFICE ADMIN</v>
      </c>
      <c r="AO55" t="str">
        <f t="shared" si="128"/>
        <v xml:space="preserve">Cust054-usha REDDY  </v>
      </c>
      <c r="AP55" t="str">
        <f t="shared" si="22"/>
        <v>usha REDDY</v>
      </c>
      <c r="AQ55" t="str">
        <f t="shared" si="23"/>
        <v>Warangal, TELANGANA</v>
      </c>
      <c r="AR55" t="str">
        <f t="shared" si="24"/>
        <v>prd-white-054:ZEBRONICS whiteboard 4X6 FEET</v>
      </c>
      <c r="AS55" t="str">
        <f t="shared" si="25"/>
        <v>USHA.REDDY@CORPORATE.COM|+91-9988123456</v>
      </c>
      <c r="AT55" t="str">
        <f t="shared" si="26"/>
        <v xml:space="preserve">  WHITEBOARD solutions  -OFFICE ADMIN</v>
      </c>
      <c r="AU55" t="str">
        <f t="shared" si="27"/>
        <v>Corporate 26-Jan-2025</v>
      </c>
      <c r="AV55" t="str">
        <f t="shared" si="28"/>
        <v>357 Hanumakonda,Warangal, TELANGANA,506001</v>
      </c>
      <c r="AW55" t="str">
        <f t="shared" si="29"/>
        <v>dept-adm-054_OFFICE ADMIN</v>
      </c>
      <c r="AX55" t="str">
        <f t="shared" si="30"/>
        <v>Customer ID:Cust054</v>
      </c>
      <c r="AY55" t="str">
        <f t="shared" si="31"/>
        <v>Email:USHA.REDDY@CORPORATE.COM</v>
      </c>
      <c r="AZ55" t="str">
        <f t="shared" si="32"/>
        <v>https://whiteboards.com/contact</v>
      </c>
      <c r="BA55" t="str">
        <f t="shared" si="33"/>
        <v>Order Placed On 26-Jan-2025</v>
      </c>
      <c r="BB55" t="str">
        <f t="shared" si="34"/>
        <v>usha REDDY  (Corporate)</v>
      </c>
      <c r="BC55" t="str">
        <f t="shared" si="35"/>
        <v>prd-white-054/ZEBRONICS whiteboard 4X6 FEET</v>
      </c>
      <c r="BD55" t="str">
        <f t="shared" si="36"/>
        <v>call +91-9988123456</v>
      </c>
      <c r="BE55" t="str">
        <f t="shared" si="37"/>
        <v xml:space="preserve">  WHITEBOARD solutions  -dept-adm-054</v>
      </c>
      <c r="BF55" t="str">
        <f t="shared" si="38"/>
        <v>Cust054-54</v>
      </c>
      <c r="BG55" t="str">
        <f t="shared" si="39"/>
        <v>Customer: usha REDDY  ,Type: Corporate</v>
      </c>
      <c r="BH55" t="str">
        <f t="shared" si="40"/>
        <v>Warangal,india</v>
      </c>
      <c r="BI55" t="str">
        <f t="shared" si="41"/>
        <v>Cust</v>
      </c>
      <c r="BJ55" t="str">
        <f t="shared" si="42"/>
        <v>USHA.REDDY</v>
      </c>
      <c r="BK55" t="str">
        <f t="shared" si="43"/>
        <v xml:space="preserve">usha </v>
      </c>
      <c r="BL55" t="str">
        <f t="shared" si="44"/>
        <v>prd-w</v>
      </c>
      <c r="BM55" t="str">
        <f t="shared" si="45"/>
        <v>Cor</v>
      </c>
      <c r="BN55" t="str">
        <f t="shared" si="46"/>
        <v>+91-9988</v>
      </c>
      <c r="BO55" t="str">
        <f t="shared" si="47"/>
        <v>CORPORATE.COM</v>
      </c>
      <c r="BP55" t="str">
        <f t="shared" si="48"/>
        <v>Warangal</v>
      </c>
      <c r="BQ55" t="str">
        <f t="shared" si="49"/>
        <v>t054</v>
      </c>
      <c r="BR55" t="str">
        <f t="shared" si="50"/>
        <v>EDDY</v>
      </c>
      <c r="BS55" t="str">
        <f t="shared" si="51"/>
        <v>te-054</v>
      </c>
      <c r="BU55" t="str">
        <f t="shared" si="52"/>
        <v>23456</v>
      </c>
      <c r="BV55" t="str">
        <f t="shared" si="53"/>
        <v>506001</v>
      </c>
      <c r="BW55" t="str">
        <f t="shared" si="54"/>
        <v xml:space="preserve"> TELANGANA</v>
      </c>
      <c r="BX55" t="str">
        <f t="shared" si="55"/>
        <v>054</v>
      </c>
      <c r="BY55" t="str">
        <f t="shared" si="56"/>
        <v>adm</v>
      </c>
      <c r="BZ55" t="str">
        <f t="shared" si="57"/>
        <v>white</v>
      </c>
      <c r="CA55" t="str">
        <f t="shared" si="58"/>
        <v>Jan</v>
      </c>
      <c r="CB55" t="str">
        <f t="shared" si="59"/>
        <v>WHITE</v>
      </c>
      <c r="CC55">
        <f t="shared" si="60"/>
        <v>11</v>
      </c>
      <c r="CD55">
        <f t="shared" si="61"/>
        <v>12</v>
      </c>
      <c r="CE55">
        <f t="shared" si="62"/>
        <v>24</v>
      </c>
      <c r="CF55">
        <f t="shared" si="63"/>
        <v>5</v>
      </c>
      <c r="CG55">
        <f t="shared" si="64"/>
        <v>29</v>
      </c>
      <c r="CH55">
        <f t="shared" si="65"/>
        <v>9</v>
      </c>
      <c r="CI55">
        <f t="shared" si="66"/>
        <v>7</v>
      </c>
      <c r="CJ55" t="str">
        <f t="shared" si="67"/>
        <v>Not found</v>
      </c>
      <c r="CK55">
        <f t="shared" si="68"/>
        <v>14</v>
      </c>
      <c r="CL55">
        <f t="shared" si="69"/>
        <v>4</v>
      </c>
      <c r="CM55">
        <f t="shared" si="70"/>
        <v>15</v>
      </c>
      <c r="CN55">
        <f t="shared" si="71"/>
        <v>5</v>
      </c>
      <c r="CO55">
        <f t="shared" si="72"/>
        <v>20</v>
      </c>
      <c r="CP55">
        <f t="shared" si="73"/>
        <v>10</v>
      </c>
      <c r="CQ55">
        <f t="shared" si="74"/>
        <v>12</v>
      </c>
      <c r="CR55">
        <f t="shared" si="75"/>
        <v>7</v>
      </c>
      <c r="CS55">
        <f t="shared" si="76"/>
        <v>9</v>
      </c>
      <c r="CT55">
        <f t="shared" si="77"/>
        <v>10</v>
      </c>
      <c r="CU55">
        <f t="shared" si="78"/>
        <v>23</v>
      </c>
      <c r="CV55">
        <f t="shared" si="79"/>
        <v>3</v>
      </c>
      <c r="CW55" t="str">
        <f t="shared" si="80"/>
        <v>Customer ID054</v>
      </c>
      <c r="CX55" t="str">
        <f t="shared" si="81"/>
        <v>USHA.REDDY[AT]CORPORATE.COM</v>
      </c>
      <c r="CY55" t="str">
        <f t="shared" si="82"/>
        <v>Product-WHITE-054</v>
      </c>
      <c r="CZ55" t="str">
        <f t="shared" si="83"/>
        <v>prd_white_054</v>
      </c>
      <c r="DA55" t="str">
        <f t="shared" si="84"/>
        <v>DEPARTMENT-ADM-054</v>
      </c>
      <c r="DB55" t="str">
        <f t="shared" si="85"/>
        <v>USHA.REDDY@CORPORATE.in</v>
      </c>
      <c r="DC55" t="str">
        <f t="shared" si="86"/>
        <v>HTTPS://WHITEBOARDS.COM</v>
      </c>
      <c r="DD55" t="str">
        <f t="shared" si="87"/>
        <v>usha/REDDY//</v>
      </c>
      <c r="DE55" t="str">
        <f t="shared" si="88"/>
        <v>Corporate</v>
      </c>
      <c r="DF55" t="str">
        <f t="shared" si="89"/>
        <v>Warangal; TELANGANA;506001</v>
      </c>
      <c r="DG55" t="str">
        <f t="shared" si="90"/>
        <v>OFFICE ADMIN</v>
      </c>
      <c r="DH55" t="str">
        <f t="shared" si="91"/>
        <v>+91-9988123456</v>
      </c>
      <c r="DI55" t="str">
        <f t="shared" si="92"/>
        <v xml:space="preserve">  WHITEBOARD solutions  </v>
      </c>
      <c r="DJ55" t="str">
        <f t="shared" si="93"/>
        <v>https:://whiteboards.com</v>
      </c>
      <c r="DK55" t="str">
        <f t="shared" si="94"/>
        <v>357  Hanumakonda</v>
      </c>
      <c r="DL55" t="str">
        <f t="shared" si="95"/>
        <v>USHA.REDDY</v>
      </c>
      <c r="DM55" t="str">
        <f t="shared" si="96"/>
        <v>usha.REDDY@  WHITEBOARD solutions  .com</v>
      </c>
      <c r="DN55" t="str">
        <f t="shared" si="97"/>
        <v>usha</v>
      </c>
      <c r="DO55" t="str">
        <f t="shared" si="98"/>
        <v>REDDY</v>
      </c>
      <c r="DP55" t="str">
        <f t="shared" si="99"/>
        <v>REDDY,usha</v>
      </c>
      <c r="DQ55" t="str">
        <f t="shared" si="100"/>
        <v>Name has10characters</v>
      </c>
      <c r="DR55" t="str">
        <f t="shared" si="101"/>
        <v>Valid</v>
      </c>
      <c r="DS55" t="str">
        <f t="shared" si="102"/>
        <v>+91-</v>
      </c>
      <c r="DT55" t="str">
        <f t="shared" si="103"/>
        <v>Cus054</v>
      </c>
      <c r="DU55" t="str">
        <f t="shared" si="104"/>
        <v>ureddy</v>
      </c>
      <c r="DV55" t="str">
        <f t="shared" si="105"/>
        <v>prd054</v>
      </c>
      <c r="DW55" t="str">
        <f t="shared" si="106"/>
        <v>+91-9988123456</v>
      </c>
      <c r="DX55" t="str">
        <f t="shared" si="107"/>
        <v>2025</v>
      </c>
      <c r="DY55" t="str">
        <f t="shared" si="108"/>
        <v>u</v>
      </c>
      <c r="DZ55" t="str">
        <f t="shared" si="109"/>
        <v>ushaREDDY@  WHITEBOARD solutions  .com</v>
      </c>
      <c r="EA55" t="str">
        <f t="shared" si="110"/>
        <v/>
      </c>
      <c r="EB55" t="str">
        <f t="shared" si="111"/>
        <v>CORPORATE.COM</v>
      </c>
      <c r="EC55">
        <f t="shared" si="112"/>
        <v>29</v>
      </c>
      <c r="ED55" t="str">
        <f t="shared" si="113"/>
        <v>Wa54</v>
      </c>
      <c r="EE55" t="str">
        <f t="shared" si="114"/>
        <v>Warangal- TELANGANA(506001)</v>
      </c>
      <c r="EF55" t="str">
        <f t="shared" si="115"/>
        <v>919988123456</v>
      </c>
      <c r="EG55" t="str">
        <f t="shared" si="116"/>
        <v>CUST-054</v>
      </c>
      <c r="EH55" t="str">
        <f t="shared" si="117"/>
        <v>public</v>
      </c>
      <c r="EI55" t="str">
        <f t="shared" si="118"/>
        <v>PRD-054-26Jan25</v>
      </c>
      <c r="EJ55" t="str">
        <f t="shared" si="119"/>
        <v>Corporate</v>
      </c>
    </row>
    <row r="56" spans="1:140" x14ac:dyDescent="0.3">
      <c r="A56" t="s">
        <v>719</v>
      </c>
      <c r="B56" t="s">
        <v>1516</v>
      </c>
      <c r="C56" t="s">
        <v>1517</v>
      </c>
      <c r="D56" t="s">
        <v>720</v>
      </c>
      <c r="E56" t="s">
        <v>721</v>
      </c>
      <c r="F56" t="s">
        <v>722</v>
      </c>
      <c r="G56" t="s">
        <v>723</v>
      </c>
      <c r="H56" t="s">
        <v>1663</v>
      </c>
      <c r="I56" t="s">
        <v>1635</v>
      </c>
      <c r="J56">
        <v>201010</v>
      </c>
      <c r="K56" t="str">
        <f t="shared" si="9"/>
        <v>ghaziabad, UTTAR PRADESH,201010</v>
      </c>
      <c r="L56" t="s">
        <v>724</v>
      </c>
      <c r="M56" t="s">
        <v>725</v>
      </c>
      <c r="N56" t="s">
        <v>726</v>
      </c>
      <c r="O56" t="s">
        <v>78</v>
      </c>
      <c r="P56" t="s">
        <v>727</v>
      </c>
      <c r="Q56" t="s">
        <v>728</v>
      </c>
      <c r="R56" t="s">
        <v>729</v>
      </c>
      <c r="S56" t="s">
        <v>730</v>
      </c>
      <c r="T56" t="s">
        <v>731</v>
      </c>
      <c r="U56" t="str">
        <f t="shared" si="120"/>
        <v>RAVI KAPOOR</v>
      </c>
      <c r="V56" t="str">
        <f t="shared" si="121"/>
        <v>ravi.kapoor@mail.in</v>
      </c>
      <c r="W56" t="str">
        <f t="shared" si="10"/>
        <v>Ghaziabad</v>
      </c>
      <c r="X56" t="str">
        <f t="shared" si="122"/>
        <v>ravi kapoor</v>
      </c>
      <c r="Y56" t="str">
        <f t="shared" si="11"/>
        <v>RETAIL</v>
      </c>
      <c r="Z56" t="str">
        <f t="shared" si="12"/>
        <v>marker world india</v>
      </c>
      <c r="AA56" t="str">
        <f t="shared" si="13"/>
        <v>Stationery Manager</v>
      </c>
      <c r="AB56" t="str">
        <f t="shared" si="123"/>
        <v>753 Vaishali</v>
      </c>
      <c r="AC56" t="str">
        <f t="shared" si="14"/>
        <v>DEPT-STAT-055</v>
      </c>
      <c r="AD56" t="str">
        <f t="shared" si="15"/>
        <v>Faber-Castell Whiteboard Markers Pack</v>
      </c>
      <c r="AE56" t="str">
        <f t="shared" si="16"/>
        <v>www.markers.in</v>
      </c>
      <c r="AF56" t="str">
        <f t="shared" si="17"/>
        <v>Refillable markers preferred</v>
      </c>
      <c r="AG56" t="str">
        <f t="shared" si="124"/>
        <v>CUST055</v>
      </c>
      <c r="AH56" t="str">
        <f t="shared" si="18"/>
        <v>PRD-MARK-055</v>
      </c>
      <c r="AI56" t="str">
        <f t="shared" si="125"/>
        <v>Ravi Kapoor</v>
      </c>
      <c r="AJ56" t="str">
        <f t="shared" si="126"/>
        <v>(0120) 2468-9753</v>
      </c>
      <c r="AK56" t="str">
        <f t="shared" si="19"/>
        <v>retail</v>
      </c>
      <c r="AL56" t="str">
        <f t="shared" si="20"/>
        <v>Marker World India</v>
      </c>
      <c r="AM56" t="str">
        <f t="shared" si="127"/>
        <v>ravi.kapoor@mail.in</v>
      </c>
      <c r="AN56" t="str">
        <f t="shared" si="21"/>
        <v>STATIONERY MANAGER</v>
      </c>
      <c r="AO56" t="str">
        <f t="shared" si="128"/>
        <v>CUST055-ravi kapoor</v>
      </c>
      <c r="AP56" t="str">
        <f t="shared" si="22"/>
        <v>ravi kapoor</v>
      </c>
      <c r="AQ56" t="str">
        <f t="shared" si="23"/>
        <v>ghaziabad, UTTAR PRADESH</v>
      </c>
      <c r="AR56" t="str">
        <f t="shared" si="24"/>
        <v>prd-mark-055:FABER-CASTELL whiteboard MARKERS pack</v>
      </c>
      <c r="AS56" t="str">
        <f t="shared" si="25"/>
        <v>ravi.kapoor@mail.in|(0120) 2468-9753</v>
      </c>
      <c r="AT56" t="str">
        <f t="shared" si="26"/>
        <v>marker WORLD india-Stationery Manager</v>
      </c>
      <c r="AU56" t="str">
        <f t="shared" si="27"/>
        <v>retail 02-Feb-2025</v>
      </c>
      <c r="AV56" t="str">
        <f t="shared" si="28"/>
        <v>753 Vaishali,ghaziabad, UTTAR PRADESH,201010</v>
      </c>
      <c r="AW56" t="str">
        <f t="shared" si="29"/>
        <v>dept-stat-055_Stationery Manager</v>
      </c>
      <c r="AX56" t="str">
        <f t="shared" si="30"/>
        <v>Customer ID:CUST055</v>
      </c>
      <c r="AY56" t="str">
        <f t="shared" si="31"/>
        <v>Email:ravi.kapoor@mail.in</v>
      </c>
      <c r="AZ56" t="str">
        <f t="shared" si="32"/>
        <v>WWW.MARKERS.IN/contact</v>
      </c>
      <c r="BA56" t="str">
        <f t="shared" si="33"/>
        <v>Order Placed On 02-Feb-2025</v>
      </c>
      <c r="BB56" t="str">
        <f t="shared" si="34"/>
        <v>ravi kapoor(retail)</v>
      </c>
      <c r="BC56" t="str">
        <f t="shared" si="35"/>
        <v>prd-mark-055/FABER-CASTELL whiteboard MARKERS pack</v>
      </c>
      <c r="BD56" t="str">
        <f t="shared" si="36"/>
        <v>call (0120) 2468-9753</v>
      </c>
      <c r="BE56" t="str">
        <f t="shared" si="37"/>
        <v>marker WORLD india-dept-stat-055</v>
      </c>
      <c r="BF56" t="str">
        <f t="shared" si="38"/>
        <v>CUST055-55</v>
      </c>
      <c r="BG56" t="str">
        <f t="shared" si="39"/>
        <v>Customer: ravi kapoor,Type: retail</v>
      </c>
      <c r="BH56" t="str">
        <f t="shared" si="40"/>
        <v>ghaziabad,india</v>
      </c>
      <c r="BI56" t="str">
        <f t="shared" si="41"/>
        <v>CUST</v>
      </c>
      <c r="BJ56" t="str">
        <f t="shared" si="42"/>
        <v>ravi.kapoo</v>
      </c>
      <c r="BK56" t="str">
        <f t="shared" si="43"/>
        <v xml:space="preserve">ravi </v>
      </c>
      <c r="BL56" t="str">
        <f t="shared" si="44"/>
        <v>prd-m</v>
      </c>
      <c r="BM56" t="str">
        <f t="shared" si="45"/>
        <v>ret</v>
      </c>
      <c r="BN56" t="str">
        <f t="shared" si="46"/>
        <v>(0120) 2</v>
      </c>
      <c r="BO56" t="str">
        <f t="shared" si="47"/>
        <v>mail.in</v>
      </c>
      <c r="BP56" t="str">
        <f t="shared" si="48"/>
        <v>ghaziabad</v>
      </c>
      <c r="BQ56" t="str">
        <f t="shared" si="49"/>
        <v>T055</v>
      </c>
      <c r="BR56" t="str">
        <f t="shared" si="50"/>
        <v>poor</v>
      </c>
      <c r="BS56" t="str">
        <f t="shared" si="51"/>
        <v>rk-055</v>
      </c>
      <c r="BU56" t="str">
        <f t="shared" si="52"/>
        <v>-9753</v>
      </c>
      <c r="BV56" t="str">
        <f t="shared" si="53"/>
        <v>201010</v>
      </c>
      <c r="BW56" t="str">
        <f t="shared" si="54"/>
        <v xml:space="preserve"> UTTAR PRADESH</v>
      </c>
      <c r="BX56" t="str">
        <f t="shared" si="55"/>
        <v>055</v>
      </c>
      <c r="BY56" t="str">
        <f t="shared" si="56"/>
        <v>stat</v>
      </c>
      <c r="BZ56" t="str">
        <f t="shared" si="57"/>
        <v>mark</v>
      </c>
      <c r="CA56" t="str">
        <f t="shared" si="58"/>
        <v>Feb</v>
      </c>
      <c r="CB56" t="str">
        <f t="shared" si="59"/>
        <v xml:space="preserve">rker </v>
      </c>
      <c r="CC56">
        <f t="shared" si="60"/>
        <v>12</v>
      </c>
      <c r="CD56">
        <f t="shared" si="61"/>
        <v>11</v>
      </c>
      <c r="CE56">
        <f t="shared" si="62"/>
        <v>19</v>
      </c>
      <c r="CF56">
        <f t="shared" si="63"/>
        <v>5</v>
      </c>
      <c r="CG56">
        <f t="shared" si="64"/>
        <v>37</v>
      </c>
      <c r="CH56">
        <f t="shared" si="65"/>
        <v>10</v>
      </c>
      <c r="CI56">
        <f t="shared" si="66"/>
        <v>7</v>
      </c>
      <c r="CJ56" t="str">
        <f t="shared" si="67"/>
        <v>Not found</v>
      </c>
      <c r="CK56">
        <f t="shared" si="68"/>
        <v>16</v>
      </c>
      <c r="CL56">
        <f t="shared" si="69"/>
        <v>4</v>
      </c>
      <c r="CM56">
        <f t="shared" si="70"/>
        <v>12</v>
      </c>
      <c r="CN56">
        <f t="shared" si="71"/>
        <v>5</v>
      </c>
      <c r="CO56">
        <f t="shared" si="72"/>
        <v>18</v>
      </c>
      <c r="CP56">
        <f t="shared" si="73"/>
        <v>9</v>
      </c>
      <c r="CQ56">
        <f t="shared" si="74"/>
        <v>13</v>
      </c>
      <c r="CR56" t="str">
        <f t="shared" si="75"/>
        <v>not found</v>
      </c>
      <c r="CS56">
        <f t="shared" si="76"/>
        <v>6</v>
      </c>
      <c r="CT56">
        <f t="shared" si="77"/>
        <v>9</v>
      </c>
      <c r="CU56">
        <f t="shared" si="78"/>
        <v>32</v>
      </c>
      <c r="CV56">
        <f t="shared" si="79"/>
        <v>3</v>
      </c>
      <c r="CW56" t="str">
        <f t="shared" si="80"/>
        <v>Customer ID055</v>
      </c>
      <c r="CX56" t="str">
        <f t="shared" si="81"/>
        <v>ravi.kapoor[AT]mail.in</v>
      </c>
      <c r="CY56" t="str">
        <f t="shared" si="82"/>
        <v>Product-MARK-055</v>
      </c>
      <c r="CZ56" t="str">
        <f t="shared" si="83"/>
        <v>prd_mark_055</v>
      </c>
      <c r="DA56" t="str">
        <f t="shared" si="84"/>
        <v>DEPARTMENT-STAT-055</v>
      </c>
      <c r="DB56" t="str">
        <f t="shared" si="85"/>
        <v>RAVI.KAPOOR@MAIL.IN</v>
      </c>
      <c r="DC56" t="str">
        <f t="shared" si="86"/>
        <v>https://www..MARKERS.IN</v>
      </c>
      <c r="DD56" t="str">
        <f t="shared" si="87"/>
        <v>ravi/kapoor</v>
      </c>
      <c r="DE56" t="str">
        <f t="shared" si="88"/>
        <v>RETAIL CUSTOMER</v>
      </c>
      <c r="DF56" t="str">
        <f t="shared" si="89"/>
        <v>ghaziabad; UTTAR PRADESH;201010</v>
      </c>
      <c r="DG56" t="str">
        <f t="shared" si="90"/>
        <v>Stationery Manager</v>
      </c>
      <c r="DH56" t="str">
        <f t="shared" si="91"/>
        <v xml:space="preserve"> 0120  2468-9753</v>
      </c>
      <c r="DI56" t="str">
        <f t="shared" si="92"/>
        <v>marker WORLD india</v>
      </c>
      <c r="DJ56" t="str">
        <f t="shared" si="93"/>
        <v>WWW.MARKERS.IN</v>
      </c>
      <c r="DK56" t="str">
        <f t="shared" si="94"/>
        <v>753  Vaishali</v>
      </c>
      <c r="DL56" t="str">
        <f t="shared" si="95"/>
        <v>ravi.kapoor</v>
      </c>
      <c r="DM56" t="str">
        <f t="shared" si="96"/>
        <v>ravi.kapoor@marker WORLD india.com</v>
      </c>
      <c r="DN56" t="str">
        <f t="shared" si="97"/>
        <v>ravi</v>
      </c>
      <c r="DO56" t="str">
        <f t="shared" si="98"/>
        <v>kapoor</v>
      </c>
      <c r="DP56" t="str">
        <f t="shared" si="99"/>
        <v>kapoor,ravi</v>
      </c>
      <c r="DQ56" t="str">
        <f t="shared" si="100"/>
        <v>Name has11characters</v>
      </c>
      <c r="DR56" t="str">
        <f t="shared" si="101"/>
        <v>Check Domain</v>
      </c>
      <c r="DS56" t="str">
        <f t="shared" si="102"/>
        <v>(012</v>
      </c>
      <c r="DT56" t="str">
        <f t="shared" si="103"/>
        <v>CUS055</v>
      </c>
      <c r="DU56" t="str">
        <f t="shared" si="104"/>
        <v>rkapoor</v>
      </c>
      <c r="DV56" t="str">
        <f t="shared" si="105"/>
        <v>prd055</v>
      </c>
      <c r="DW56" t="str">
        <f t="shared" si="106"/>
        <v>(0120) 2468-9753</v>
      </c>
      <c r="DX56" t="str">
        <f t="shared" si="107"/>
        <v>2025</v>
      </c>
      <c r="DY56" t="str">
        <f t="shared" si="108"/>
        <v>r</v>
      </c>
      <c r="DZ56" t="str">
        <f t="shared" si="109"/>
        <v>ravikapoor@marker WORLD india.com</v>
      </c>
      <c r="EA56" t="str">
        <f t="shared" si="110"/>
        <v>Retail</v>
      </c>
      <c r="EB56" t="str">
        <f t="shared" si="111"/>
        <v>mail.in</v>
      </c>
      <c r="EC56">
        <f t="shared" si="112"/>
        <v>37</v>
      </c>
      <c r="ED56" t="str">
        <f t="shared" si="113"/>
        <v>gh55</v>
      </c>
      <c r="EE56" t="str">
        <f t="shared" si="114"/>
        <v>ghaziabad- UTTAR PRADESH(201010)</v>
      </c>
      <c r="EF56" t="str">
        <f t="shared" si="115"/>
        <v>012024689753</v>
      </c>
      <c r="EG56" t="str">
        <f t="shared" si="116"/>
        <v>CUST-055</v>
      </c>
      <c r="EH56" t="str">
        <f t="shared" si="117"/>
        <v>public</v>
      </c>
      <c r="EI56" t="str">
        <f t="shared" si="118"/>
        <v>PRD-055-02Feb25</v>
      </c>
      <c r="EJ56" t="str">
        <f t="shared" si="119"/>
        <v>Retail</v>
      </c>
    </row>
    <row r="57" spans="1:140" x14ac:dyDescent="0.3">
      <c r="A57" t="s">
        <v>732</v>
      </c>
      <c r="B57" t="s">
        <v>1518</v>
      </c>
      <c r="C57" t="s">
        <v>1446</v>
      </c>
      <c r="D57" t="s">
        <v>733</v>
      </c>
      <c r="E57" t="s">
        <v>734</v>
      </c>
      <c r="F57" t="s">
        <v>735</v>
      </c>
      <c r="G57" t="s">
        <v>736</v>
      </c>
      <c r="H57" t="s">
        <v>1664</v>
      </c>
      <c r="I57" t="s">
        <v>1620</v>
      </c>
      <c r="J57">
        <v>202001</v>
      </c>
      <c r="K57" t="str">
        <f t="shared" si="9"/>
        <v>ALIGARH, Uttar Pradesh,202001</v>
      </c>
      <c r="L57" t="s">
        <v>737</v>
      </c>
      <c r="M57" t="s">
        <v>738</v>
      </c>
      <c r="N57" t="s">
        <v>739</v>
      </c>
      <c r="O57" t="s">
        <v>36</v>
      </c>
      <c r="P57" t="s">
        <v>740</v>
      </c>
      <c r="Q57" t="s">
        <v>741</v>
      </c>
      <c r="R57" t="s">
        <v>742</v>
      </c>
      <c r="S57" t="s">
        <v>743</v>
      </c>
      <c r="T57" t="s">
        <v>744</v>
      </c>
      <c r="U57" t="str">
        <f t="shared" si="120"/>
        <v xml:space="preserve">  SHWETA BAJAJ</v>
      </c>
      <c r="V57" t="str">
        <f t="shared" si="121"/>
        <v>shweta_bajaj@email.in</v>
      </c>
      <c r="W57" t="str">
        <f t="shared" si="10"/>
        <v>Aligarh</v>
      </c>
      <c r="X57" t="str">
        <f t="shared" si="122"/>
        <v>SHWETA bajaj</v>
      </c>
      <c r="Y57" t="str">
        <f t="shared" si="11"/>
        <v>WHOLESALE</v>
      </c>
      <c r="Z57" t="str">
        <f t="shared" si="12"/>
        <v>eraser store pro</v>
      </c>
      <c r="AA57" t="str">
        <f t="shared" si="13"/>
        <v>School Supplies Head</v>
      </c>
      <c r="AB57" t="str">
        <f t="shared" si="123"/>
        <v>951 Delhi Gate</v>
      </c>
      <c r="AC57" t="str">
        <f t="shared" si="14"/>
        <v>DEPT-SCHOOL-056</v>
      </c>
      <c r="AD57" t="str">
        <f t="shared" si="15"/>
        <v>Scotch Magnetic Eraser</v>
      </c>
      <c r="AE57" t="str">
        <f t="shared" si="16"/>
        <v>www.erasers.com</v>
      </c>
      <c r="AF57" t="str">
        <f t="shared" si="17"/>
        <v>Bulk packaging available?</v>
      </c>
      <c r="AG57" t="str">
        <f t="shared" si="124"/>
        <v>CUST056</v>
      </c>
      <c r="AH57" t="str">
        <f t="shared" si="18"/>
        <v>PRD-ERASER-056</v>
      </c>
      <c r="AI57" t="str">
        <f t="shared" si="125"/>
        <v xml:space="preserve">  Shweta Bajaj</v>
      </c>
      <c r="AJ57" t="str">
        <f t="shared" si="126"/>
        <v>0571-3698521</v>
      </c>
      <c r="AK57" t="str">
        <f t="shared" si="19"/>
        <v>wholesale</v>
      </c>
      <c r="AL57" t="str">
        <f t="shared" si="20"/>
        <v>Eraser Store Pro</v>
      </c>
      <c r="AM57" t="str">
        <f t="shared" si="127"/>
        <v>shweta_bajaj@email.in</v>
      </c>
      <c r="AN57" t="str">
        <f t="shared" si="21"/>
        <v>SCHOOL SUPPLIES HEAD</v>
      </c>
      <c r="AO57" t="str">
        <f t="shared" si="128"/>
        <v>cust056-  SHWETA bajaj</v>
      </c>
      <c r="AP57" t="str">
        <f t="shared" si="22"/>
        <v>SHWETA bajaj</v>
      </c>
      <c r="AQ57" t="str">
        <f t="shared" si="23"/>
        <v>ALIGARH, Uttar Pradesh</v>
      </c>
      <c r="AR57" t="str">
        <f t="shared" si="24"/>
        <v>PRD-ERASER-056:SCOTCH magnetic ERASER</v>
      </c>
      <c r="AS57" t="str">
        <f t="shared" si="25"/>
        <v>shweta_bajaj@email.in|0571-3698521</v>
      </c>
      <c r="AT57" t="str">
        <f t="shared" si="26"/>
        <v>ERASER store PRO-School Supplies Head</v>
      </c>
      <c r="AU57" t="str">
        <f t="shared" si="27"/>
        <v>wholesale 09-Feb-2025</v>
      </c>
      <c r="AV57" t="str">
        <f t="shared" si="28"/>
        <v xml:space="preserve">  951 Delhi Gate  ,ALIGARH, Uttar Pradesh,202001</v>
      </c>
      <c r="AW57" t="str">
        <f t="shared" si="29"/>
        <v>DEPT-SCHOOL-056_School Supplies Head</v>
      </c>
      <c r="AX57" t="str">
        <f t="shared" si="30"/>
        <v>Customer ID:cust056</v>
      </c>
      <c r="AY57" t="str">
        <f t="shared" si="31"/>
        <v>Email:shweta_bajaj@email.in</v>
      </c>
      <c r="AZ57" t="str">
        <f t="shared" si="32"/>
        <v>www.erasers.com/contact</v>
      </c>
      <c r="BA57" t="str">
        <f t="shared" si="33"/>
        <v>Order Placed On 09-Feb-2025</v>
      </c>
      <c r="BB57" t="str">
        <f t="shared" si="34"/>
        <v xml:space="preserve">  SHWETA bajaj(wholesale)</v>
      </c>
      <c r="BC57" t="str">
        <f t="shared" si="35"/>
        <v>PRD-ERASER-056/SCOTCH magnetic ERASER</v>
      </c>
      <c r="BD57" t="str">
        <f t="shared" si="36"/>
        <v>call 0571-3698521</v>
      </c>
      <c r="BE57" t="str">
        <f t="shared" si="37"/>
        <v>ERASER store PRO-DEPT-SCHOOL-056</v>
      </c>
      <c r="BF57" t="str">
        <f t="shared" si="38"/>
        <v>cust056-56</v>
      </c>
      <c r="BG57" t="str">
        <f t="shared" si="39"/>
        <v>Customer:   SHWETA bajaj,Type: wholesale</v>
      </c>
      <c r="BH57" t="str">
        <f t="shared" si="40"/>
        <v>ALIGARH,india</v>
      </c>
      <c r="BI57" t="str">
        <f t="shared" si="41"/>
        <v>cust</v>
      </c>
      <c r="BJ57" t="str">
        <f t="shared" si="42"/>
        <v>shweta_baj</v>
      </c>
      <c r="BK57" t="str">
        <f t="shared" si="43"/>
        <v xml:space="preserve">SHWETA </v>
      </c>
      <c r="BL57" t="str">
        <f t="shared" si="44"/>
        <v>PRD-E</v>
      </c>
      <c r="BM57" t="str">
        <f t="shared" si="45"/>
        <v>who</v>
      </c>
      <c r="BN57" t="str">
        <f t="shared" si="46"/>
        <v>0571-369</v>
      </c>
      <c r="BO57" t="str">
        <f t="shared" si="47"/>
        <v>email.in</v>
      </c>
      <c r="BP57" t="str">
        <f t="shared" si="48"/>
        <v>ALIGARH</v>
      </c>
      <c r="BQ57" t="str">
        <f t="shared" si="49"/>
        <v>t056</v>
      </c>
      <c r="BR57" t="str">
        <f t="shared" si="50"/>
        <v xml:space="preserve"> bajaj</v>
      </c>
      <c r="BS57" t="str">
        <f t="shared" si="51"/>
        <v>ER-056</v>
      </c>
      <c r="BU57" t="str">
        <f t="shared" si="52"/>
        <v>98521</v>
      </c>
      <c r="BV57" t="str">
        <f t="shared" si="53"/>
        <v>202001</v>
      </c>
      <c r="BW57" t="str">
        <f t="shared" si="54"/>
        <v xml:space="preserve"> Uttar Pradesh</v>
      </c>
      <c r="BX57" t="str">
        <f t="shared" si="55"/>
        <v>056</v>
      </c>
      <c r="BY57" t="str">
        <f t="shared" si="56"/>
        <v>SCHOOL</v>
      </c>
      <c r="BZ57" t="str">
        <f t="shared" si="57"/>
        <v>ERASER</v>
      </c>
      <c r="CA57" t="str">
        <f t="shared" si="58"/>
        <v>Feb</v>
      </c>
      <c r="CB57" t="str">
        <f t="shared" si="59"/>
        <v xml:space="preserve">ASER </v>
      </c>
      <c r="CC57">
        <f t="shared" si="60"/>
        <v>13</v>
      </c>
      <c r="CD57">
        <f t="shared" si="61"/>
        <v>14</v>
      </c>
      <c r="CE57">
        <f t="shared" si="62"/>
        <v>21</v>
      </c>
      <c r="CF57">
        <f t="shared" si="63"/>
        <v>1</v>
      </c>
      <c r="CG57">
        <f t="shared" si="64"/>
        <v>22</v>
      </c>
      <c r="CH57">
        <f t="shared" si="65"/>
        <v>8</v>
      </c>
      <c r="CI57">
        <f t="shared" si="66"/>
        <v>7</v>
      </c>
      <c r="CJ57">
        <f t="shared" si="67"/>
        <v>1</v>
      </c>
      <c r="CK57">
        <f t="shared" si="68"/>
        <v>12</v>
      </c>
      <c r="CL57">
        <f t="shared" si="69"/>
        <v>4</v>
      </c>
      <c r="CM57">
        <f t="shared" si="70"/>
        <v>18</v>
      </c>
      <c r="CN57">
        <f t="shared" si="71"/>
        <v>19</v>
      </c>
      <c r="CO57">
        <f t="shared" si="72"/>
        <v>16</v>
      </c>
      <c r="CP57">
        <f t="shared" si="73"/>
        <v>11</v>
      </c>
      <c r="CQ57">
        <f t="shared" si="74"/>
        <v>15</v>
      </c>
      <c r="CR57" t="str">
        <f t="shared" si="75"/>
        <v>not found</v>
      </c>
      <c r="CS57">
        <f t="shared" si="76"/>
        <v>9</v>
      </c>
      <c r="CT57">
        <f t="shared" si="77"/>
        <v>11</v>
      </c>
      <c r="CU57">
        <f t="shared" si="78"/>
        <v>25</v>
      </c>
      <c r="CV57">
        <f t="shared" si="79"/>
        <v>3</v>
      </c>
      <c r="CW57" t="str">
        <f t="shared" si="80"/>
        <v>Customer ID056</v>
      </c>
      <c r="CX57" t="str">
        <f t="shared" si="81"/>
        <v>shweta_bajaj[AT]email.in</v>
      </c>
      <c r="CY57" t="str">
        <f t="shared" si="82"/>
        <v>Product-ERASER-056</v>
      </c>
      <c r="CZ57" t="str">
        <f t="shared" si="83"/>
        <v>PRD_ERASER_056</v>
      </c>
      <c r="DA57" t="str">
        <f t="shared" si="84"/>
        <v>DEPARTMENT-SCHOOL-056</v>
      </c>
      <c r="DB57" t="str">
        <f t="shared" si="85"/>
        <v>SHWETA_BAJAJ@EMAIL.IN</v>
      </c>
      <c r="DC57" t="str">
        <f t="shared" si="86"/>
        <v>https://www..ERASERS.COM</v>
      </c>
      <c r="DD57" t="str">
        <f t="shared" si="87"/>
        <v>//SHWETA/bajaj</v>
      </c>
      <c r="DE57" t="str">
        <f t="shared" si="88"/>
        <v>wholesale</v>
      </c>
      <c r="DF57" t="str">
        <f t="shared" si="89"/>
        <v>ALIGARH; Uttar Pradesh;202001</v>
      </c>
      <c r="DG57" t="str">
        <f t="shared" si="90"/>
        <v>School Supplies Head</v>
      </c>
      <c r="DH57" t="str">
        <f t="shared" si="91"/>
        <v>0571-3698521</v>
      </c>
      <c r="DI57" t="str">
        <f t="shared" si="92"/>
        <v>ERASER store PRO</v>
      </c>
      <c r="DJ57" t="str">
        <f t="shared" si="93"/>
        <v>www.erasers.com</v>
      </c>
      <c r="DK57" t="str">
        <f t="shared" si="94"/>
        <v xml:space="preserve">    951  Delhi  Gate    </v>
      </c>
      <c r="DL57" t="str">
        <f t="shared" si="95"/>
        <v>shweta_bajaj</v>
      </c>
      <c r="DM57" t="str">
        <f t="shared" si="96"/>
        <v>SHWETA.bajaj@ERASER store PRO.com</v>
      </c>
      <c r="DN57" t="str">
        <f t="shared" si="97"/>
        <v>SHWETA</v>
      </c>
      <c r="DO57" t="str">
        <f t="shared" si="98"/>
        <v>bajaj</v>
      </c>
      <c r="DP57" t="str">
        <f t="shared" si="99"/>
        <v>bajaj,SHWETA</v>
      </c>
      <c r="DQ57" t="str">
        <f t="shared" si="100"/>
        <v>Name has12characters</v>
      </c>
      <c r="DR57" t="str">
        <f t="shared" si="101"/>
        <v>Check Domain</v>
      </c>
      <c r="DS57" t="str">
        <f t="shared" si="102"/>
        <v>0571</v>
      </c>
      <c r="DT57" t="str">
        <f t="shared" si="103"/>
        <v>cus056</v>
      </c>
      <c r="DU57" t="str">
        <f t="shared" si="104"/>
        <v>Sbajaj</v>
      </c>
      <c r="DV57" t="str">
        <f t="shared" si="105"/>
        <v>PRD056</v>
      </c>
      <c r="DW57" t="str">
        <f t="shared" si="106"/>
        <v>0571-3698521</v>
      </c>
      <c r="DX57" t="str">
        <f t="shared" si="107"/>
        <v>2025</v>
      </c>
      <c r="DY57" t="str">
        <f t="shared" si="108"/>
        <v>S</v>
      </c>
      <c r="DZ57" t="str">
        <f t="shared" si="109"/>
        <v>SHWETAbajaj@ERASER store PRO.com</v>
      </c>
      <c r="EA57" t="str">
        <f t="shared" si="110"/>
        <v>Wholesale</v>
      </c>
      <c r="EB57" t="str">
        <f t="shared" si="111"/>
        <v>email.in</v>
      </c>
      <c r="EC57">
        <f t="shared" si="112"/>
        <v>22</v>
      </c>
      <c r="ED57" t="str">
        <f t="shared" si="113"/>
        <v>AL56</v>
      </c>
      <c r="EE57" t="str">
        <f t="shared" si="114"/>
        <v>ALIGARH- Uttar Pradesh(202001)</v>
      </c>
      <c r="EF57" t="str">
        <f t="shared" si="115"/>
        <v>05713698521</v>
      </c>
      <c r="EG57" t="str">
        <f t="shared" si="116"/>
        <v>CUST-056</v>
      </c>
      <c r="EH57" t="str">
        <f t="shared" si="117"/>
        <v>public</v>
      </c>
      <c r="EI57" t="str">
        <f t="shared" si="118"/>
        <v>PRD-056-09Feb25</v>
      </c>
      <c r="EJ57" t="str">
        <f t="shared" si="119"/>
        <v>Wholesale</v>
      </c>
    </row>
    <row r="58" spans="1:140" x14ac:dyDescent="0.3">
      <c r="A58" t="s">
        <v>745</v>
      </c>
      <c r="B58" t="s">
        <v>1519</v>
      </c>
      <c r="C58" t="s">
        <v>1520</v>
      </c>
      <c r="D58" t="s">
        <v>746</v>
      </c>
      <c r="E58" t="s">
        <v>747</v>
      </c>
      <c r="F58" t="s">
        <v>748</v>
      </c>
      <c r="G58" t="s">
        <v>749</v>
      </c>
      <c r="H58" t="s">
        <v>1665</v>
      </c>
      <c r="I58" t="s">
        <v>1608</v>
      </c>
      <c r="J58">
        <v>682011</v>
      </c>
      <c r="K58" t="str">
        <f t="shared" si="9"/>
        <v>Ernakulam, KERALA,682011</v>
      </c>
      <c r="L58" t="s">
        <v>750</v>
      </c>
      <c r="M58" t="s">
        <v>751</v>
      </c>
      <c r="N58" t="s">
        <v>752</v>
      </c>
      <c r="O58" t="s">
        <v>132</v>
      </c>
      <c r="P58" t="s">
        <v>753</v>
      </c>
      <c r="Q58" t="s">
        <v>754</v>
      </c>
      <c r="R58" t="s">
        <v>755</v>
      </c>
      <c r="S58" t="s">
        <v>756</v>
      </c>
      <c r="T58" t="s">
        <v>757</v>
      </c>
      <c r="U58" t="str">
        <f t="shared" si="120"/>
        <v xml:space="preserve">DINESH NAIR  </v>
      </c>
      <c r="V58" t="str">
        <f t="shared" si="121"/>
        <v>dinesh.nair@company.in</v>
      </c>
      <c r="W58" t="str">
        <f t="shared" si="10"/>
        <v>Ernakulam</v>
      </c>
      <c r="X58" t="str">
        <f t="shared" si="122"/>
        <v>dinesh NAIR</v>
      </c>
      <c r="Y58" t="str">
        <f t="shared" si="11"/>
        <v>CORPORATE</v>
      </c>
      <c r="Z58" t="str">
        <f t="shared" si="12"/>
        <v xml:space="preserve">  camera world india  </v>
      </c>
      <c r="AA58" t="str">
        <f t="shared" si="13"/>
        <v>Photography Head</v>
      </c>
      <c r="AB58" t="str">
        <f t="shared" si="123"/>
        <v>147 Broadway</v>
      </c>
      <c r="AC58" t="str">
        <f t="shared" si="14"/>
        <v>DEPT-PHOTO-057</v>
      </c>
      <c r="AD58" t="str">
        <f t="shared" si="15"/>
        <v>Nikon D3500 Dslr Camera</v>
      </c>
      <c r="AE58" t="str">
        <f t="shared" si="16"/>
        <v>https://cameras.in</v>
      </c>
      <c r="AF58" t="str">
        <f t="shared" si="17"/>
        <v>Lens kit included?</v>
      </c>
      <c r="AG58" t="str">
        <f t="shared" si="124"/>
        <v>CUST057</v>
      </c>
      <c r="AH58" t="str">
        <f t="shared" si="18"/>
        <v>PRD-CAM-057</v>
      </c>
      <c r="AI58" t="str">
        <f t="shared" si="125"/>
        <v xml:space="preserve">Dinesh Nair  </v>
      </c>
      <c r="AJ58" t="str">
        <f t="shared" si="126"/>
        <v>+91-9876098765</v>
      </c>
      <c r="AK58" t="str">
        <f t="shared" si="19"/>
        <v>corporate</v>
      </c>
      <c r="AL58" t="str">
        <f t="shared" si="20"/>
        <v>Camera World India</v>
      </c>
      <c r="AM58" t="str">
        <f t="shared" si="127"/>
        <v>dinesh.nair@company.in</v>
      </c>
      <c r="AN58" t="str">
        <f t="shared" si="21"/>
        <v>PHOTOGRAPHY HEAD</v>
      </c>
      <c r="AO58" t="str">
        <f t="shared" si="128"/>
        <v xml:space="preserve">Cust057-dinesh NAIR  </v>
      </c>
      <c r="AP58" t="str">
        <f t="shared" si="22"/>
        <v>dinesh NAIR</v>
      </c>
      <c r="AQ58" t="str">
        <f t="shared" si="23"/>
        <v>Ernakulam, KERALA</v>
      </c>
      <c r="AR58" t="str">
        <f t="shared" si="24"/>
        <v>prd-cam-057:NIKON d3500 DSLR camera</v>
      </c>
      <c r="AS58" t="str">
        <f t="shared" si="25"/>
        <v>DINESH.NAIR@COMPANY.IN|+91-9876098765</v>
      </c>
      <c r="AT58" t="str">
        <f t="shared" si="26"/>
        <v xml:space="preserve">  CAMERA world INDIA  -PHOTOGRAPHY HEAD</v>
      </c>
      <c r="AU58" t="str">
        <f t="shared" si="27"/>
        <v>Corporate 16-Feb-2025</v>
      </c>
      <c r="AV58" t="str">
        <f t="shared" si="28"/>
        <v>147 Broadway,Ernakulam, KERALA,682011</v>
      </c>
      <c r="AW58" t="str">
        <f t="shared" si="29"/>
        <v>dept-photo-057_PHOTOGRAPHY HEAD</v>
      </c>
      <c r="AX58" t="str">
        <f t="shared" si="30"/>
        <v>Customer ID:Cust057</v>
      </c>
      <c r="AY58" t="str">
        <f t="shared" si="31"/>
        <v>Email:DINESH.NAIR@COMPANY.IN</v>
      </c>
      <c r="AZ58" t="str">
        <f t="shared" si="32"/>
        <v>https://cameras.in/contact</v>
      </c>
      <c r="BA58" t="str">
        <f t="shared" si="33"/>
        <v>Order Placed On 16-Feb-2025</v>
      </c>
      <c r="BB58" t="str">
        <f t="shared" si="34"/>
        <v>dinesh NAIR  (Corporate)</v>
      </c>
      <c r="BC58" t="str">
        <f t="shared" si="35"/>
        <v>prd-cam-057/NIKON d3500 DSLR camera</v>
      </c>
      <c r="BD58" t="str">
        <f t="shared" si="36"/>
        <v>call +91-9876098765</v>
      </c>
      <c r="BE58" t="str">
        <f t="shared" si="37"/>
        <v xml:space="preserve">  CAMERA world INDIA  -dept-photo-057</v>
      </c>
      <c r="BF58" t="str">
        <f t="shared" si="38"/>
        <v>Cust057-57</v>
      </c>
      <c r="BG58" t="str">
        <f t="shared" si="39"/>
        <v>Customer: dinesh NAIR  ,Type: Corporate</v>
      </c>
      <c r="BH58" t="str">
        <f t="shared" si="40"/>
        <v>Ernakulam,india</v>
      </c>
      <c r="BI58" t="str">
        <f t="shared" si="41"/>
        <v>Cust</v>
      </c>
      <c r="BJ58" t="str">
        <f t="shared" si="42"/>
        <v>DINESH.NAI</v>
      </c>
      <c r="BK58" t="str">
        <f t="shared" si="43"/>
        <v xml:space="preserve">dinesh </v>
      </c>
      <c r="BL58" t="str">
        <f t="shared" si="44"/>
        <v>prd-c</v>
      </c>
      <c r="BM58" t="str">
        <f t="shared" si="45"/>
        <v>Cor</v>
      </c>
      <c r="BN58" t="str">
        <f t="shared" si="46"/>
        <v>+91-9876</v>
      </c>
      <c r="BO58" t="str">
        <f t="shared" si="47"/>
        <v>COMPANY.IN</v>
      </c>
      <c r="BP58" t="str">
        <f t="shared" si="48"/>
        <v>Ernakulam</v>
      </c>
      <c r="BQ58" t="str">
        <f t="shared" si="49"/>
        <v>t057</v>
      </c>
      <c r="BR58" t="str">
        <f t="shared" si="50"/>
        <v>h NAIR</v>
      </c>
      <c r="BS58" t="str">
        <f t="shared" si="51"/>
        <v>am-057</v>
      </c>
      <c r="BU58" t="str">
        <f t="shared" si="52"/>
        <v>98765</v>
      </c>
      <c r="BV58" t="str">
        <f t="shared" si="53"/>
        <v>682011</v>
      </c>
      <c r="BW58" t="str">
        <f t="shared" si="54"/>
        <v xml:space="preserve"> KERALA</v>
      </c>
      <c r="BX58" t="str">
        <f t="shared" si="55"/>
        <v>057</v>
      </c>
      <c r="BY58" t="str">
        <f t="shared" si="56"/>
        <v>photo</v>
      </c>
      <c r="BZ58" t="str">
        <f t="shared" si="57"/>
        <v>cam</v>
      </c>
      <c r="CA58" t="str">
        <f t="shared" si="58"/>
        <v>Feb</v>
      </c>
      <c r="CB58" t="str">
        <f t="shared" si="59"/>
        <v>CAMER</v>
      </c>
      <c r="CC58">
        <f t="shared" si="60"/>
        <v>12</v>
      </c>
      <c r="CD58">
        <f t="shared" si="61"/>
        <v>13</v>
      </c>
      <c r="CE58">
        <f t="shared" si="62"/>
        <v>22</v>
      </c>
      <c r="CF58">
        <f t="shared" si="63"/>
        <v>7</v>
      </c>
      <c r="CG58">
        <f t="shared" si="64"/>
        <v>23</v>
      </c>
      <c r="CH58">
        <f t="shared" si="65"/>
        <v>10</v>
      </c>
      <c r="CI58">
        <f t="shared" si="66"/>
        <v>7</v>
      </c>
      <c r="CJ58" t="str">
        <f t="shared" si="67"/>
        <v>Not found</v>
      </c>
      <c r="CK58">
        <f t="shared" si="68"/>
        <v>14</v>
      </c>
      <c r="CL58">
        <f t="shared" si="69"/>
        <v>4</v>
      </c>
      <c r="CM58">
        <f t="shared" si="70"/>
        <v>12</v>
      </c>
      <c r="CN58">
        <f t="shared" si="71"/>
        <v>7</v>
      </c>
      <c r="CO58">
        <f t="shared" si="72"/>
        <v>18</v>
      </c>
      <c r="CP58">
        <f t="shared" si="73"/>
        <v>8</v>
      </c>
      <c r="CQ58">
        <f t="shared" si="74"/>
        <v>14</v>
      </c>
      <c r="CR58">
        <f t="shared" si="75"/>
        <v>7</v>
      </c>
      <c r="CS58">
        <f t="shared" si="76"/>
        <v>9</v>
      </c>
      <c r="CT58">
        <f t="shared" si="77"/>
        <v>8</v>
      </c>
      <c r="CU58">
        <f t="shared" si="78"/>
        <v>18</v>
      </c>
      <c r="CV58">
        <f t="shared" si="79"/>
        <v>3</v>
      </c>
      <c r="CW58" t="str">
        <f t="shared" si="80"/>
        <v>Customer ID057</v>
      </c>
      <c r="CX58" t="str">
        <f t="shared" si="81"/>
        <v>DINESH.NAIR[AT]COMPANY.IN</v>
      </c>
      <c r="CY58" t="str">
        <f t="shared" si="82"/>
        <v>Product-CAM-057</v>
      </c>
      <c r="CZ58" t="str">
        <f t="shared" si="83"/>
        <v>prd_cam_057</v>
      </c>
      <c r="DA58" t="str">
        <f t="shared" si="84"/>
        <v>DEPARTMENT-PHOTO-057</v>
      </c>
      <c r="DB58" t="str">
        <f t="shared" si="85"/>
        <v>DINESH.NAIR@COMPANY.IN</v>
      </c>
      <c r="DC58" t="str">
        <f t="shared" si="86"/>
        <v>HTTPS://CAMERAS.IN</v>
      </c>
      <c r="DD58" t="str">
        <f t="shared" si="87"/>
        <v>dinesh/NAIR//</v>
      </c>
      <c r="DE58" t="str">
        <f t="shared" si="88"/>
        <v>Corporate</v>
      </c>
      <c r="DF58" t="str">
        <f t="shared" si="89"/>
        <v>Ernakulam; KERALA;682011</v>
      </c>
      <c r="DG58" t="str">
        <f t="shared" si="90"/>
        <v>PHOTOGRAPHY HEAD</v>
      </c>
      <c r="DH58" t="str">
        <f t="shared" si="91"/>
        <v>+91-9876098765</v>
      </c>
      <c r="DI58" t="str">
        <f t="shared" si="92"/>
        <v xml:space="preserve">  CAMERA world INDIA  </v>
      </c>
      <c r="DJ58" t="str">
        <f t="shared" si="93"/>
        <v>https:://cameras.in</v>
      </c>
      <c r="DK58" t="str">
        <f t="shared" si="94"/>
        <v>147  Broadway</v>
      </c>
      <c r="DL58" t="str">
        <f t="shared" si="95"/>
        <v>DINESH.NAIR</v>
      </c>
      <c r="DM58" t="str">
        <f t="shared" si="96"/>
        <v>dinesh.NAIR@  CAMERA world INDIA  .com</v>
      </c>
      <c r="DN58" t="str">
        <f t="shared" si="97"/>
        <v>dinesh</v>
      </c>
      <c r="DO58" t="str">
        <f t="shared" si="98"/>
        <v>NAIR</v>
      </c>
      <c r="DP58" t="str">
        <f t="shared" si="99"/>
        <v>NAIR,dinesh</v>
      </c>
      <c r="DQ58" t="str">
        <f t="shared" si="100"/>
        <v>Name has11characters</v>
      </c>
      <c r="DR58" t="str">
        <f t="shared" si="101"/>
        <v>Check Domain</v>
      </c>
      <c r="DS58" t="str">
        <f t="shared" si="102"/>
        <v>+91-</v>
      </c>
      <c r="DT58" t="str">
        <f t="shared" si="103"/>
        <v>Cus057</v>
      </c>
      <c r="DU58" t="str">
        <f t="shared" si="104"/>
        <v>dnair</v>
      </c>
      <c r="DV58" t="str">
        <f t="shared" si="105"/>
        <v>prd057</v>
      </c>
      <c r="DW58" t="str">
        <f t="shared" si="106"/>
        <v>+91-9876098765</v>
      </c>
      <c r="DX58" t="str">
        <f t="shared" si="107"/>
        <v>2025</v>
      </c>
      <c r="DY58" t="str">
        <f t="shared" si="108"/>
        <v>d</v>
      </c>
      <c r="DZ58" t="str">
        <f t="shared" si="109"/>
        <v>dineshNAIR@  CAMERA world INDIA  .com</v>
      </c>
      <c r="EA58" t="str">
        <f t="shared" si="110"/>
        <v/>
      </c>
      <c r="EB58" t="str">
        <f t="shared" si="111"/>
        <v>COMPANY.IN</v>
      </c>
      <c r="EC58">
        <f t="shared" si="112"/>
        <v>23</v>
      </c>
      <c r="ED58" t="str">
        <f t="shared" si="113"/>
        <v>Er57</v>
      </c>
      <c r="EE58" t="str">
        <f t="shared" si="114"/>
        <v>Ernakulam- KERALA(682011)</v>
      </c>
      <c r="EF58" t="str">
        <f t="shared" si="115"/>
        <v>919876098765</v>
      </c>
      <c r="EG58" t="str">
        <f t="shared" si="116"/>
        <v>CUST-057</v>
      </c>
      <c r="EH58" t="str">
        <f t="shared" si="117"/>
        <v>public</v>
      </c>
      <c r="EI58" t="str">
        <f t="shared" si="118"/>
        <v>PRD-057-16Feb25</v>
      </c>
      <c r="EJ58" t="str">
        <f t="shared" si="119"/>
        <v>Corporate</v>
      </c>
    </row>
    <row r="59" spans="1:140" x14ac:dyDescent="0.3">
      <c r="A59" t="s">
        <v>758</v>
      </c>
      <c r="B59" t="s">
        <v>1521</v>
      </c>
      <c r="C59" t="s">
        <v>1485</v>
      </c>
      <c r="D59" t="s">
        <v>759</v>
      </c>
      <c r="E59" t="s">
        <v>760</v>
      </c>
      <c r="F59" t="s">
        <v>761</v>
      </c>
      <c r="G59" t="s">
        <v>762</v>
      </c>
      <c r="H59" t="s">
        <v>1666</v>
      </c>
      <c r="I59" t="s">
        <v>1608</v>
      </c>
      <c r="J59">
        <v>691001</v>
      </c>
      <c r="K59" t="str">
        <f t="shared" si="9"/>
        <v>kollam, KERALA,691001</v>
      </c>
      <c r="L59" t="s">
        <v>763</v>
      </c>
      <c r="M59" t="s">
        <v>764</v>
      </c>
      <c r="N59" t="s">
        <v>765</v>
      </c>
      <c r="O59" t="s">
        <v>78</v>
      </c>
      <c r="P59" t="s">
        <v>766</v>
      </c>
      <c r="Q59" t="s">
        <v>767</v>
      </c>
      <c r="R59" t="s">
        <v>768</v>
      </c>
      <c r="S59" t="s">
        <v>769</v>
      </c>
      <c r="T59" t="s">
        <v>770</v>
      </c>
      <c r="U59" t="str">
        <f t="shared" si="120"/>
        <v>ANANYA PILLAI</v>
      </c>
      <c r="V59" t="str">
        <f t="shared" si="121"/>
        <v>ananya.pillai@mail.in</v>
      </c>
      <c r="W59" t="str">
        <f t="shared" si="10"/>
        <v>Kollam</v>
      </c>
      <c r="X59" t="str">
        <f t="shared" si="122"/>
        <v>ananya pillai</v>
      </c>
      <c r="Y59" t="str">
        <f t="shared" si="11"/>
        <v>RETAIL</v>
      </c>
      <c r="Z59" t="str">
        <f t="shared" si="12"/>
        <v>lens solutions</v>
      </c>
      <c r="AA59" t="str">
        <f t="shared" si="13"/>
        <v>Camera Specialist</v>
      </c>
      <c r="AB59" t="str">
        <f t="shared" si="123"/>
        <v>258 Asramam</v>
      </c>
      <c r="AC59" t="str">
        <f t="shared" si="14"/>
        <v>DEPT-CAM-058</v>
      </c>
      <c r="AD59" t="str">
        <f t="shared" si="15"/>
        <v>Canon Ef 50Mm F/1.8 Lens</v>
      </c>
      <c r="AE59" t="str">
        <f t="shared" si="16"/>
        <v>www.lenses.com</v>
      </c>
      <c r="AF59" t="str">
        <f t="shared" si="17"/>
        <v>Autofocus type query</v>
      </c>
      <c r="AG59" t="str">
        <f t="shared" si="124"/>
        <v>CUST058</v>
      </c>
      <c r="AH59" t="str">
        <f t="shared" si="18"/>
        <v>PRD-LENS-058</v>
      </c>
      <c r="AI59" t="str">
        <f t="shared" si="125"/>
        <v>Ananya Pillai</v>
      </c>
      <c r="AJ59" t="str">
        <f t="shared" si="126"/>
        <v>(0474) 9876-0123</v>
      </c>
      <c r="AK59" t="str">
        <f t="shared" si="19"/>
        <v>retail</v>
      </c>
      <c r="AL59" t="str">
        <f t="shared" si="20"/>
        <v>Lens Solutions</v>
      </c>
      <c r="AM59" t="str">
        <f t="shared" si="127"/>
        <v>ananya.pillai@mail.in</v>
      </c>
      <c r="AN59" t="str">
        <f t="shared" si="21"/>
        <v>CAMERA SPECIALIST</v>
      </c>
      <c r="AO59" t="str">
        <f t="shared" si="128"/>
        <v>CUST058-ananya pillai</v>
      </c>
      <c r="AP59" t="str">
        <f t="shared" si="22"/>
        <v>ananya pillai</v>
      </c>
      <c r="AQ59" t="str">
        <f t="shared" si="23"/>
        <v>kollam, KERALA</v>
      </c>
      <c r="AR59" t="str">
        <f t="shared" si="24"/>
        <v>prd-lens-058:CANON ef 50mm F/1.8 LENS</v>
      </c>
      <c r="AS59" t="str">
        <f t="shared" si="25"/>
        <v>ananya.pillai@mail.in|(0474) 9876-0123</v>
      </c>
      <c r="AT59" t="str">
        <f t="shared" si="26"/>
        <v>lens SOLUTIONS-Camera Specialist</v>
      </c>
      <c r="AU59" t="str">
        <f t="shared" si="27"/>
        <v>retail 23-Feb-2025</v>
      </c>
      <c r="AV59" t="str">
        <f t="shared" si="28"/>
        <v>258 Asramam,kollam, KERALA,691001</v>
      </c>
      <c r="AW59" t="str">
        <f t="shared" si="29"/>
        <v>dept-cam-058_Camera Specialist</v>
      </c>
      <c r="AX59" t="str">
        <f t="shared" si="30"/>
        <v>Customer ID:CUST058</v>
      </c>
      <c r="AY59" t="str">
        <f t="shared" si="31"/>
        <v>Email:ananya.pillai@mail.in</v>
      </c>
      <c r="AZ59" t="str">
        <f t="shared" si="32"/>
        <v>WWW.LENSES.COM/contact</v>
      </c>
      <c r="BA59" t="str">
        <f t="shared" si="33"/>
        <v>Order Placed On 23-Feb-2025</v>
      </c>
      <c r="BB59" t="str">
        <f t="shared" si="34"/>
        <v>ananya pillai(retail)</v>
      </c>
      <c r="BC59" t="str">
        <f t="shared" si="35"/>
        <v>prd-lens-058/CANON ef 50mm F/1.8 LENS</v>
      </c>
      <c r="BD59" t="str">
        <f t="shared" si="36"/>
        <v>call (0474) 9876-0123</v>
      </c>
      <c r="BE59" t="str">
        <f t="shared" si="37"/>
        <v>lens SOLUTIONS-dept-cam-058</v>
      </c>
      <c r="BF59" t="str">
        <f t="shared" si="38"/>
        <v>CUST058-58</v>
      </c>
      <c r="BG59" t="str">
        <f t="shared" si="39"/>
        <v>Customer: ananya pillai,Type: retail</v>
      </c>
      <c r="BH59" t="str">
        <f t="shared" si="40"/>
        <v>kollam,india</v>
      </c>
      <c r="BI59" t="str">
        <f t="shared" si="41"/>
        <v>CUST</v>
      </c>
      <c r="BJ59" t="str">
        <f t="shared" si="42"/>
        <v>ananya.pil</v>
      </c>
      <c r="BK59" t="str">
        <f t="shared" si="43"/>
        <v xml:space="preserve">ananya </v>
      </c>
      <c r="BL59" t="str">
        <f t="shared" si="44"/>
        <v>prd-l</v>
      </c>
      <c r="BM59" t="str">
        <f t="shared" si="45"/>
        <v>ret</v>
      </c>
      <c r="BN59" t="str">
        <f t="shared" si="46"/>
        <v>(0474) 9</v>
      </c>
      <c r="BO59" t="str">
        <f t="shared" si="47"/>
        <v>mail.in</v>
      </c>
      <c r="BP59" t="str">
        <f t="shared" si="48"/>
        <v>kollam</v>
      </c>
      <c r="BQ59" t="str">
        <f t="shared" si="49"/>
        <v>T058</v>
      </c>
      <c r="BR59" t="str">
        <f t="shared" si="50"/>
        <v>pillai</v>
      </c>
      <c r="BS59" t="str">
        <f t="shared" si="51"/>
        <v>ns-058</v>
      </c>
      <c r="BU59" t="str">
        <f t="shared" si="52"/>
        <v>-0123</v>
      </c>
      <c r="BV59" t="str">
        <f t="shared" si="53"/>
        <v>691001</v>
      </c>
      <c r="BW59" t="str">
        <f t="shared" si="54"/>
        <v xml:space="preserve"> KERALA</v>
      </c>
      <c r="BX59" t="str">
        <f t="shared" si="55"/>
        <v>058</v>
      </c>
      <c r="BY59" t="str">
        <f t="shared" si="56"/>
        <v>cam</v>
      </c>
      <c r="BZ59" t="str">
        <f t="shared" si="57"/>
        <v>lens</v>
      </c>
      <c r="CA59" t="str">
        <f t="shared" si="58"/>
        <v>Feb</v>
      </c>
      <c r="CB59" t="str">
        <f t="shared" si="59"/>
        <v>ns SO</v>
      </c>
      <c r="CC59">
        <f t="shared" si="60"/>
        <v>14</v>
      </c>
      <c r="CD59">
        <f t="shared" si="61"/>
        <v>13</v>
      </c>
      <c r="CE59">
        <f t="shared" si="62"/>
        <v>21</v>
      </c>
      <c r="CF59">
        <f t="shared" si="63"/>
        <v>7</v>
      </c>
      <c r="CG59">
        <f t="shared" si="64"/>
        <v>24</v>
      </c>
      <c r="CH59">
        <f t="shared" si="65"/>
        <v>7</v>
      </c>
      <c r="CI59">
        <f t="shared" si="66"/>
        <v>7</v>
      </c>
      <c r="CJ59" t="str">
        <f t="shared" si="67"/>
        <v>Not found</v>
      </c>
      <c r="CK59">
        <f t="shared" si="68"/>
        <v>16</v>
      </c>
      <c r="CL59">
        <f t="shared" si="69"/>
        <v>4</v>
      </c>
      <c r="CM59">
        <f t="shared" si="70"/>
        <v>11</v>
      </c>
      <c r="CN59">
        <f t="shared" si="71"/>
        <v>7</v>
      </c>
      <c r="CO59">
        <f t="shared" si="72"/>
        <v>14</v>
      </c>
      <c r="CP59">
        <f t="shared" si="73"/>
        <v>9</v>
      </c>
      <c r="CQ59">
        <f t="shared" si="74"/>
        <v>12</v>
      </c>
      <c r="CR59" t="str">
        <f t="shared" si="75"/>
        <v>not found</v>
      </c>
      <c r="CS59">
        <f t="shared" si="76"/>
        <v>6</v>
      </c>
      <c r="CT59">
        <f t="shared" si="77"/>
        <v>9</v>
      </c>
      <c r="CU59">
        <f t="shared" si="78"/>
        <v>24</v>
      </c>
      <c r="CV59">
        <f t="shared" si="79"/>
        <v>3</v>
      </c>
      <c r="CW59" t="str">
        <f t="shared" si="80"/>
        <v>Customer ID058</v>
      </c>
      <c r="CX59" t="str">
        <f t="shared" si="81"/>
        <v>ananya.pillai[AT]mail.in</v>
      </c>
      <c r="CY59" t="str">
        <f t="shared" si="82"/>
        <v>Product-LENS-058</v>
      </c>
      <c r="CZ59" t="str">
        <f t="shared" si="83"/>
        <v>prd_lens_058</v>
      </c>
      <c r="DA59" t="str">
        <f t="shared" si="84"/>
        <v>DEPARTMENT-CAM-058</v>
      </c>
      <c r="DB59" t="str">
        <f t="shared" si="85"/>
        <v>ANANYA.PILLAI@MAIL.IN</v>
      </c>
      <c r="DC59" t="str">
        <f t="shared" si="86"/>
        <v>https://www..LENSES.COM</v>
      </c>
      <c r="DD59" t="str">
        <f t="shared" si="87"/>
        <v>ananya/pillai</v>
      </c>
      <c r="DE59" t="str">
        <f t="shared" si="88"/>
        <v>RETAIL CUSTOMER</v>
      </c>
      <c r="DF59" t="str">
        <f t="shared" si="89"/>
        <v>kollam; KERALA;691001</v>
      </c>
      <c r="DG59" t="str">
        <f t="shared" si="90"/>
        <v>Camera Specialist</v>
      </c>
      <c r="DH59" t="str">
        <f t="shared" si="91"/>
        <v xml:space="preserve"> 0474  9876-0123</v>
      </c>
      <c r="DI59" t="str">
        <f t="shared" si="92"/>
        <v>lens SOLUTIONS</v>
      </c>
      <c r="DJ59" t="str">
        <f t="shared" si="93"/>
        <v>WWW.LENSES.COM</v>
      </c>
      <c r="DK59" t="str">
        <f t="shared" si="94"/>
        <v>258  Asramam</v>
      </c>
      <c r="DL59" t="str">
        <f t="shared" si="95"/>
        <v>ananya.pillai</v>
      </c>
      <c r="DM59" t="str">
        <f t="shared" si="96"/>
        <v>ananya.pillai@lens SOLUTIONS.com</v>
      </c>
      <c r="DN59" t="str">
        <f t="shared" si="97"/>
        <v>ananya</v>
      </c>
      <c r="DO59" t="str">
        <f t="shared" si="98"/>
        <v>pillai</v>
      </c>
      <c r="DP59" t="str">
        <f t="shared" si="99"/>
        <v>pillai,ananya</v>
      </c>
      <c r="DQ59" t="str">
        <f t="shared" si="100"/>
        <v>Name has13characters</v>
      </c>
      <c r="DR59" t="str">
        <f t="shared" si="101"/>
        <v>Check Domain</v>
      </c>
      <c r="DS59" t="str">
        <f t="shared" si="102"/>
        <v>(047</v>
      </c>
      <c r="DT59" t="str">
        <f t="shared" si="103"/>
        <v>CUS058</v>
      </c>
      <c r="DU59" t="str">
        <f t="shared" si="104"/>
        <v>apillai</v>
      </c>
      <c r="DV59" t="str">
        <f t="shared" si="105"/>
        <v>prd058</v>
      </c>
      <c r="DW59" t="str">
        <f t="shared" si="106"/>
        <v>(0474) 9876-0123</v>
      </c>
      <c r="DX59" t="str">
        <f t="shared" si="107"/>
        <v>2025</v>
      </c>
      <c r="DY59" t="str">
        <f t="shared" si="108"/>
        <v>a</v>
      </c>
      <c r="DZ59" t="str">
        <f t="shared" si="109"/>
        <v>ananyapillai@lens SOLUTIONS.com</v>
      </c>
      <c r="EA59" t="str">
        <f t="shared" si="110"/>
        <v>Retail</v>
      </c>
      <c r="EB59" t="str">
        <f t="shared" si="111"/>
        <v>mail.in</v>
      </c>
      <c r="EC59">
        <f t="shared" si="112"/>
        <v>24</v>
      </c>
      <c r="ED59" t="str">
        <f t="shared" si="113"/>
        <v>ko58</v>
      </c>
      <c r="EE59" t="str">
        <f t="shared" si="114"/>
        <v>kollam- KERALA(691001)</v>
      </c>
      <c r="EF59" t="str">
        <f t="shared" si="115"/>
        <v>047498760123</v>
      </c>
      <c r="EG59" t="str">
        <f t="shared" si="116"/>
        <v>CUST-058</v>
      </c>
      <c r="EH59" t="str">
        <f t="shared" si="117"/>
        <v>public</v>
      </c>
      <c r="EI59" t="str">
        <f t="shared" si="118"/>
        <v>PRD-058-23Feb25</v>
      </c>
      <c r="EJ59" t="str">
        <f t="shared" si="119"/>
        <v>Retail</v>
      </c>
    </row>
    <row r="60" spans="1:140" x14ac:dyDescent="0.3">
      <c r="A60" t="s">
        <v>771</v>
      </c>
      <c r="B60" t="s">
        <v>1522</v>
      </c>
      <c r="C60" t="s">
        <v>1523</v>
      </c>
      <c r="D60" t="s">
        <v>772</v>
      </c>
      <c r="E60" t="s">
        <v>773</v>
      </c>
      <c r="F60" t="s">
        <v>774</v>
      </c>
      <c r="G60" t="s">
        <v>775</v>
      </c>
      <c r="H60" t="s">
        <v>1667</v>
      </c>
      <c r="I60" t="s">
        <v>1594</v>
      </c>
      <c r="J60">
        <v>396195</v>
      </c>
      <c r="K60" t="str">
        <f t="shared" si="9"/>
        <v>VAPI, Gujarat,396195</v>
      </c>
      <c r="L60" t="s">
        <v>776</v>
      </c>
      <c r="M60" t="s">
        <v>777</v>
      </c>
      <c r="N60" t="s">
        <v>778</v>
      </c>
      <c r="O60" t="s">
        <v>92</v>
      </c>
      <c r="P60" t="s">
        <v>779</v>
      </c>
      <c r="Q60" t="s">
        <v>780</v>
      </c>
      <c r="R60" t="s">
        <v>781</v>
      </c>
      <c r="S60" t="s">
        <v>782</v>
      </c>
      <c r="T60" t="s">
        <v>783</v>
      </c>
      <c r="U60" t="str">
        <f t="shared" si="120"/>
        <v xml:space="preserve">  BHARAT PATEL</v>
      </c>
      <c r="V60" t="str">
        <f t="shared" si="121"/>
        <v>bharat_patel@email.in</v>
      </c>
      <c r="W60" t="str">
        <f t="shared" si="10"/>
        <v>Vapi</v>
      </c>
      <c r="X60" t="str">
        <f t="shared" si="122"/>
        <v>BHARAT patel</v>
      </c>
      <c r="Y60" t="str">
        <f t="shared" si="11"/>
        <v>WHOLESALE</v>
      </c>
      <c r="Z60" t="str">
        <f t="shared" si="12"/>
        <v>tripod store india</v>
      </c>
      <c r="AA60" t="str">
        <f t="shared" si="13"/>
        <v>Equipment Manager</v>
      </c>
      <c r="AB60" t="str">
        <f t="shared" si="123"/>
        <v>369 GIDC</v>
      </c>
      <c r="AC60" t="str">
        <f t="shared" si="14"/>
        <v>DEPT-EQUIP-059</v>
      </c>
      <c r="AD60" t="str">
        <f t="shared" si="15"/>
        <v>Manfrotto Compact Tripod</v>
      </c>
      <c r="AE60" t="str">
        <f t="shared" si="16"/>
        <v>www.tripods.in</v>
      </c>
      <c r="AF60" t="str">
        <f t="shared" si="17"/>
        <v>Maximum height specification</v>
      </c>
      <c r="AG60" t="str">
        <f t="shared" si="124"/>
        <v>CUST059</v>
      </c>
      <c r="AH60" t="str">
        <f t="shared" si="18"/>
        <v>PRD-TRIPOD-059</v>
      </c>
      <c r="AI60" t="str">
        <f t="shared" si="125"/>
        <v xml:space="preserve">  Bharat Patel</v>
      </c>
      <c r="AJ60" t="str">
        <f t="shared" si="126"/>
        <v>0260-2468135</v>
      </c>
      <c r="AK60" t="str">
        <f t="shared" si="19"/>
        <v>wholesale</v>
      </c>
      <c r="AL60" t="str">
        <f t="shared" si="20"/>
        <v>Tripod Store India</v>
      </c>
      <c r="AM60" t="str">
        <f t="shared" si="127"/>
        <v>bharat_patel@email.in</v>
      </c>
      <c r="AN60" t="str">
        <f t="shared" si="21"/>
        <v>EQUIPMENT MANAGER</v>
      </c>
      <c r="AO60" t="str">
        <f t="shared" si="128"/>
        <v>cust059-  BHARAT patel</v>
      </c>
      <c r="AP60" t="str">
        <f t="shared" si="22"/>
        <v>BHARAT patel</v>
      </c>
      <c r="AQ60" t="str">
        <f t="shared" si="23"/>
        <v>VAPI, Gujarat</v>
      </c>
      <c r="AR60" t="str">
        <f t="shared" si="24"/>
        <v>PRD-TRIPOD-059:MANFROTTO compact TRIPOD</v>
      </c>
      <c r="AS60" t="str">
        <f t="shared" si="25"/>
        <v>bharat_patel@email.in|0260-2468135</v>
      </c>
      <c r="AT60" t="str">
        <f t="shared" si="26"/>
        <v>TRIPOD store INDIA-Equipment Manager</v>
      </c>
      <c r="AU60" t="str">
        <f t="shared" si="27"/>
        <v>WholeSale 02-Mar-2025</v>
      </c>
      <c r="AV60" t="str">
        <f t="shared" si="28"/>
        <v xml:space="preserve">  369 GIDC  ,VAPI, Gujarat,396195</v>
      </c>
      <c r="AW60" t="str">
        <f t="shared" si="29"/>
        <v>DEPT-EQUIP-059_Equipment Manager</v>
      </c>
      <c r="AX60" t="str">
        <f t="shared" si="30"/>
        <v>Customer ID:cust059</v>
      </c>
      <c r="AY60" t="str">
        <f t="shared" si="31"/>
        <v>Email:bharat_patel@email.in</v>
      </c>
      <c r="AZ60" t="str">
        <f t="shared" si="32"/>
        <v>www.tripods.in/contact</v>
      </c>
      <c r="BA60" t="str">
        <f t="shared" si="33"/>
        <v>Order Placed On 02-Mar-2025</v>
      </c>
      <c r="BB60" t="str">
        <f t="shared" si="34"/>
        <v xml:space="preserve">  BHARAT patel(WholeSale)</v>
      </c>
      <c r="BC60" t="str">
        <f t="shared" si="35"/>
        <v>PRD-TRIPOD-059/MANFROTTO compact TRIPOD</v>
      </c>
      <c r="BD60" t="str">
        <f t="shared" si="36"/>
        <v>call 0260-2468135</v>
      </c>
      <c r="BE60" t="str">
        <f t="shared" si="37"/>
        <v>TRIPOD store INDIA-DEPT-EQUIP-059</v>
      </c>
      <c r="BF60" t="str">
        <f t="shared" si="38"/>
        <v>cust059-59</v>
      </c>
      <c r="BG60" t="str">
        <f t="shared" si="39"/>
        <v>Customer:   BHARAT patel,Type: WholeSale</v>
      </c>
      <c r="BH60" t="str">
        <f t="shared" si="40"/>
        <v>VAPI,india</v>
      </c>
      <c r="BI60" t="str">
        <f t="shared" si="41"/>
        <v>cust</v>
      </c>
      <c r="BJ60" t="str">
        <f t="shared" si="42"/>
        <v>bharat_pat</v>
      </c>
      <c r="BK60" t="str">
        <f t="shared" si="43"/>
        <v xml:space="preserve">BHARAT </v>
      </c>
      <c r="BL60" t="str">
        <f t="shared" si="44"/>
        <v>PRD-T</v>
      </c>
      <c r="BM60" t="str">
        <f t="shared" si="45"/>
        <v>Who</v>
      </c>
      <c r="BN60" t="str">
        <f t="shared" si="46"/>
        <v>0260-246</v>
      </c>
      <c r="BO60" t="str">
        <f t="shared" si="47"/>
        <v>email.in</v>
      </c>
      <c r="BP60" t="str">
        <f t="shared" si="48"/>
        <v>VAPI</v>
      </c>
      <c r="BQ60" t="str">
        <f t="shared" si="49"/>
        <v>t059</v>
      </c>
      <c r="BR60" t="str">
        <f t="shared" si="50"/>
        <v xml:space="preserve"> patel</v>
      </c>
      <c r="BS60" t="str">
        <f t="shared" si="51"/>
        <v>OD-059</v>
      </c>
      <c r="BU60" t="str">
        <f t="shared" si="52"/>
        <v>68135</v>
      </c>
      <c r="BV60" t="str">
        <f t="shared" si="53"/>
        <v>396195</v>
      </c>
      <c r="BW60" t="str">
        <f t="shared" si="54"/>
        <v xml:space="preserve"> Gujarat</v>
      </c>
      <c r="BX60" t="str">
        <f t="shared" si="55"/>
        <v>059</v>
      </c>
      <c r="BY60" t="str">
        <f t="shared" si="56"/>
        <v>EQUIP</v>
      </c>
      <c r="BZ60" t="str">
        <f t="shared" si="57"/>
        <v>TRIPOD</v>
      </c>
      <c r="CA60" t="str">
        <f t="shared" si="58"/>
        <v>Mar</v>
      </c>
      <c r="CB60" t="str">
        <f t="shared" si="59"/>
        <v xml:space="preserve">IPOD </v>
      </c>
      <c r="CC60">
        <f t="shared" si="60"/>
        <v>13</v>
      </c>
      <c r="CD60">
        <f t="shared" si="61"/>
        <v>14</v>
      </c>
      <c r="CE60">
        <f t="shared" si="62"/>
        <v>21</v>
      </c>
      <c r="CF60">
        <f t="shared" si="63"/>
        <v>1</v>
      </c>
      <c r="CG60">
        <f t="shared" si="64"/>
        <v>24</v>
      </c>
      <c r="CH60">
        <f t="shared" si="65"/>
        <v>5</v>
      </c>
      <c r="CI60">
        <f t="shared" si="66"/>
        <v>7</v>
      </c>
      <c r="CJ60">
        <f t="shared" si="67"/>
        <v>1</v>
      </c>
      <c r="CK60">
        <f t="shared" si="68"/>
        <v>12</v>
      </c>
      <c r="CL60">
        <f t="shared" si="69"/>
        <v>4</v>
      </c>
      <c r="CM60">
        <f t="shared" si="70"/>
        <v>12</v>
      </c>
      <c r="CN60">
        <f t="shared" si="71"/>
        <v>19</v>
      </c>
      <c r="CO60">
        <f t="shared" si="72"/>
        <v>18</v>
      </c>
      <c r="CP60">
        <f t="shared" si="73"/>
        <v>11</v>
      </c>
      <c r="CQ60">
        <f t="shared" si="74"/>
        <v>14</v>
      </c>
      <c r="CR60" t="str">
        <f t="shared" si="75"/>
        <v>not found</v>
      </c>
      <c r="CS60">
        <f t="shared" si="76"/>
        <v>9</v>
      </c>
      <c r="CT60">
        <f t="shared" si="77"/>
        <v>11</v>
      </c>
      <c r="CU60">
        <f t="shared" si="78"/>
        <v>28</v>
      </c>
      <c r="CV60">
        <f t="shared" si="79"/>
        <v>3</v>
      </c>
      <c r="CW60" t="str">
        <f t="shared" si="80"/>
        <v>Customer ID059</v>
      </c>
      <c r="CX60" t="str">
        <f t="shared" si="81"/>
        <v>bharat_patel[AT]email.in</v>
      </c>
      <c r="CY60" t="str">
        <f t="shared" si="82"/>
        <v>Product-TRIPOD-059</v>
      </c>
      <c r="CZ60" t="str">
        <f t="shared" si="83"/>
        <v>PRD_TRIPOD_059</v>
      </c>
      <c r="DA60" t="str">
        <f t="shared" si="84"/>
        <v>DEPARTMENT-EQUIP-059</v>
      </c>
      <c r="DB60" t="str">
        <f t="shared" si="85"/>
        <v>BHARAT_PATEL@EMAIL.IN</v>
      </c>
      <c r="DC60" t="str">
        <f t="shared" si="86"/>
        <v>https://www..TRIPODS.IN</v>
      </c>
      <c r="DD60" t="str">
        <f t="shared" si="87"/>
        <v>//BHARAT/patel</v>
      </c>
      <c r="DE60" t="str">
        <f t="shared" si="88"/>
        <v>WholeSale</v>
      </c>
      <c r="DF60" t="str">
        <f t="shared" si="89"/>
        <v>VAPI; Gujarat;396195</v>
      </c>
      <c r="DG60" t="str">
        <f t="shared" si="90"/>
        <v>Equipment Manager</v>
      </c>
      <c r="DH60" t="str">
        <f t="shared" si="91"/>
        <v>0260-2468135</v>
      </c>
      <c r="DI60" t="str">
        <f t="shared" si="92"/>
        <v>TRIPOD store INDIA</v>
      </c>
      <c r="DJ60" t="str">
        <f t="shared" si="93"/>
        <v>www.tripods.in</v>
      </c>
      <c r="DK60" t="str">
        <f t="shared" si="94"/>
        <v xml:space="preserve">    369  GIDC    </v>
      </c>
      <c r="DL60" t="str">
        <f t="shared" si="95"/>
        <v>bharat_patel</v>
      </c>
      <c r="DM60" t="str">
        <f t="shared" si="96"/>
        <v>BHARAT.patel@TRIPOD store INDIA.com</v>
      </c>
      <c r="DN60" t="str">
        <f t="shared" si="97"/>
        <v>BHARAT</v>
      </c>
      <c r="DO60" t="str">
        <f t="shared" si="98"/>
        <v>patel</v>
      </c>
      <c r="DP60" t="str">
        <f t="shared" si="99"/>
        <v>patel,BHARAT</v>
      </c>
      <c r="DQ60" t="str">
        <f t="shared" si="100"/>
        <v>Name has12characters</v>
      </c>
      <c r="DR60" t="str">
        <f t="shared" si="101"/>
        <v>Check Domain</v>
      </c>
      <c r="DS60" t="str">
        <f t="shared" si="102"/>
        <v>0260</v>
      </c>
      <c r="DT60" t="str">
        <f t="shared" si="103"/>
        <v>cus059</v>
      </c>
      <c r="DU60" t="str">
        <f t="shared" si="104"/>
        <v>Bpatel</v>
      </c>
      <c r="DV60" t="str">
        <f t="shared" si="105"/>
        <v>PRD059</v>
      </c>
      <c r="DW60" t="str">
        <f t="shared" si="106"/>
        <v>0260-2468135</v>
      </c>
      <c r="DX60" t="str">
        <f t="shared" si="107"/>
        <v>2025</v>
      </c>
      <c r="DY60" t="str">
        <f t="shared" si="108"/>
        <v>B</v>
      </c>
      <c r="DZ60" t="str">
        <f t="shared" si="109"/>
        <v>BHARATpatel@TRIPOD store INDIA.com</v>
      </c>
      <c r="EA60" t="str">
        <f t="shared" si="110"/>
        <v>Wholesale</v>
      </c>
      <c r="EB60" t="str">
        <f t="shared" si="111"/>
        <v>email.in</v>
      </c>
      <c r="EC60">
        <f t="shared" si="112"/>
        <v>24</v>
      </c>
      <c r="ED60" t="str">
        <f t="shared" si="113"/>
        <v>VA59</v>
      </c>
      <c r="EE60" t="str">
        <f t="shared" si="114"/>
        <v>VAPI- Gujarat(396195)</v>
      </c>
      <c r="EF60" t="str">
        <f t="shared" si="115"/>
        <v>02602468135</v>
      </c>
      <c r="EG60" t="str">
        <f t="shared" si="116"/>
        <v>CUST-059</v>
      </c>
      <c r="EH60" t="str">
        <f t="shared" si="117"/>
        <v>public</v>
      </c>
      <c r="EI60" t="str">
        <f t="shared" si="118"/>
        <v>PRD-059-02Mar25</v>
      </c>
      <c r="EJ60" t="str">
        <f t="shared" si="119"/>
        <v>Wholesale</v>
      </c>
    </row>
    <row r="61" spans="1:140" x14ac:dyDescent="0.3">
      <c r="A61" t="s">
        <v>784</v>
      </c>
      <c r="B61" t="s">
        <v>1524</v>
      </c>
      <c r="C61" t="s">
        <v>1525</v>
      </c>
      <c r="D61" t="s">
        <v>785</v>
      </c>
      <c r="E61" t="s">
        <v>786</v>
      </c>
      <c r="F61" t="s">
        <v>787</v>
      </c>
      <c r="G61" t="s">
        <v>788</v>
      </c>
      <c r="H61" t="s">
        <v>1668</v>
      </c>
      <c r="I61" t="s">
        <v>1597</v>
      </c>
      <c r="J61">
        <v>413001</v>
      </c>
      <c r="K61" t="str">
        <f t="shared" si="9"/>
        <v>Solapur, MAHARASHTRA,413001</v>
      </c>
      <c r="L61" t="s">
        <v>789</v>
      </c>
      <c r="M61" t="s">
        <v>790</v>
      </c>
      <c r="N61" t="s">
        <v>791</v>
      </c>
      <c r="O61" t="s">
        <v>132</v>
      </c>
      <c r="P61" t="s">
        <v>792</v>
      </c>
      <c r="Q61" t="s">
        <v>793</v>
      </c>
      <c r="R61" t="s">
        <v>794</v>
      </c>
      <c r="S61" t="s">
        <v>795</v>
      </c>
      <c r="T61" t="s">
        <v>796</v>
      </c>
      <c r="U61" t="str">
        <f t="shared" si="120"/>
        <v xml:space="preserve">MEERA KULKARNI  </v>
      </c>
      <c r="V61" t="str">
        <f t="shared" si="121"/>
        <v>meera.kulkarni@corporate.in</v>
      </c>
      <c r="W61" t="str">
        <f t="shared" si="10"/>
        <v>Solapur</v>
      </c>
      <c r="X61" t="str">
        <f t="shared" si="122"/>
        <v>meera KULKARNI</v>
      </c>
      <c r="Y61" t="str">
        <f t="shared" si="11"/>
        <v>CORPORATE</v>
      </c>
      <c r="Z61" t="str">
        <f t="shared" si="12"/>
        <v xml:space="preserve">  flash photography pro  </v>
      </c>
      <c r="AA61" t="str">
        <f t="shared" si="13"/>
        <v>Studio Manager</v>
      </c>
      <c r="AB61" t="str">
        <f t="shared" si="123"/>
        <v>741 South Sadar Bazar</v>
      </c>
      <c r="AC61" t="str">
        <f t="shared" si="14"/>
        <v>DEPT-STUDIO-060</v>
      </c>
      <c r="AD61" t="str">
        <f t="shared" si="15"/>
        <v>Godox Speedlite Flash</v>
      </c>
      <c r="AE61" t="str">
        <f t="shared" si="16"/>
        <v>https://flash.in</v>
      </c>
      <c r="AF61" t="str">
        <f t="shared" si="17"/>
        <v>TTL compatibility check</v>
      </c>
      <c r="AG61" t="str">
        <f t="shared" si="124"/>
        <v>CUST060</v>
      </c>
      <c r="AH61" t="str">
        <f t="shared" si="18"/>
        <v>PRD-FLASH-060</v>
      </c>
      <c r="AI61" t="str">
        <f t="shared" si="125"/>
        <v xml:space="preserve">Meera Kulkarni  </v>
      </c>
      <c r="AJ61" t="str">
        <f t="shared" si="126"/>
        <v>+91-9123098765</v>
      </c>
      <c r="AK61" t="str">
        <f t="shared" si="19"/>
        <v>corporate</v>
      </c>
      <c r="AL61" t="str">
        <f t="shared" si="20"/>
        <v>Flash Photography Pro</v>
      </c>
      <c r="AM61" t="str">
        <f t="shared" si="127"/>
        <v>meera.kulkarni@corporate.in</v>
      </c>
      <c r="AN61" t="str">
        <f t="shared" si="21"/>
        <v>STUDIO MANAGER</v>
      </c>
      <c r="AO61" t="str">
        <f t="shared" si="128"/>
        <v xml:space="preserve">Cust060-meera KULKARNI  </v>
      </c>
      <c r="AP61" t="str">
        <f t="shared" si="22"/>
        <v>meera KULKARNI</v>
      </c>
      <c r="AQ61" t="str">
        <f t="shared" si="23"/>
        <v>Solapur, MAHARASHTRA</v>
      </c>
      <c r="AR61" t="str">
        <f t="shared" si="24"/>
        <v>prd-flash-060:GODOX speedlite FLASH</v>
      </c>
      <c r="AS61" t="str">
        <f t="shared" si="25"/>
        <v>MEERA.KULKARNI@CORPORATE.IN|+91-9123098765</v>
      </c>
      <c r="AT61" t="str">
        <f t="shared" si="26"/>
        <v xml:space="preserve">  FLASH photography PRO  -STUDIO MANAGER</v>
      </c>
      <c r="AU61" t="str">
        <f t="shared" si="27"/>
        <v>Corporate 09-Mar-2025</v>
      </c>
      <c r="AV61" t="str">
        <f t="shared" si="28"/>
        <v>741 South Sadar Bazar,Solapur, MAHARASHTRA,413001</v>
      </c>
      <c r="AW61" t="str">
        <f t="shared" si="29"/>
        <v>dept-studio-060_STUDIO MANAGER</v>
      </c>
      <c r="AX61" t="str">
        <f t="shared" si="30"/>
        <v>Customer ID:Cust060</v>
      </c>
      <c r="AY61" t="str">
        <f t="shared" si="31"/>
        <v>Email:MEERA.KULKARNI@CORPORATE.IN</v>
      </c>
      <c r="AZ61" t="str">
        <f t="shared" si="32"/>
        <v>https://flash.in/contact</v>
      </c>
      <c r="BA61" t="str">
        <f t="shared" si="33"/>
        <v>Order Placed On 09-Mar-2025</v>
      </c>
      <c r="BB61" t="str">
        <f t="shared" si="34"/>
        <v>meera KULKARNI  (Corporate)</v>
      </c>
      <c r="BC61" t="str">
        <f t="shared" si="35"/>
        <v>prd-flash-060/GODOX speedlite FLASH</v>
      </c>
      <c r="BD61" t="str">
        <f t="shared" si="36"/>
        <v>call +91-9123098765</v>
      </c>
      <c r="BE61" t="str">
        <f t="shared" si="37"/>
        <v xml:space="preserve">  FLASH photography PRO  -dept-studio-060</v>
      </c>
      <c r="BF61" t="str">
        <f t="shared" si="38"/>
        <v>Cust060-60</v>
      </c>
      <c r="BG61" t="str">
        <f t="shared" si="39"/>
        <v>Customer: meera KULKARNI  ,Type: Corporate</v>
      </c>
      <c r="BH61" t="str">
        <f t="shared" si="40"/>
        <v>Solapur,india</v>
      </c>
      <c r="BI61" t="str">
        <f t="shared" si="41"/>
        <v>Cust</v>
      </c>
      <c r="BJ61" t="str">
        <f t="shared" si="42"/>
        <v>MEERA.KULK</v>
      </c>
      <c r="BK61" t="str">
        <f t="shared" si="43"/>
        <v xml:space="preserve">meera </v>
      </c>
      <c r="BL61" t="str">
        <f t="shared" si="44"/>
        <v>prd-f</v>
      </c>
      <c r="BM61" t="str">
        <f t="shared" si="45"/>
        <v>Cor</v>
      </c>
      <c r="BN61" t="str">
        <f t="shared" si="46"/>
        <v>+91-9123</v>
      </c>
      <c r="BO61" t="str">
        <f t="shared" si="47"/>
        <v>CORPORATE.IN</v>
      </c>
      <c r="BP61" t="str">
        <f t="shared" si="48"/>
        <v>Solapur</v>
      </c>
      <c r="BQ61" t="str">
        <f t="shared" si="49"/>
        <v>t060</v>
      </c>
      <c r="BR61" t="str">
        <f t="shared" si="50"/>
        <v>KARNI</v>
      </c>
      <c r="BS61" t="str">
        <f t="shared" si="51"/>
        <v>sh-060</v>
      </c>
      <c r="BU61" t="str">
        <f t="shared" si="52"/>
        <v>98765</v>
      </c>
      <c r="BV61" t="str">
        <f t="shared" si="53"/>
        <v>413001</v>
      </c>
      <c r="BW61" t="str">
        <f t="shared" si="54"/>
        <v xml:space="preserve"> MAHARASHTRA</v>
      </c>
      <c r="BX61" t="str">
        <f t="shared" si="55"/>
        <v>060</v>
      </c>
      <c r="BY61" t="str">
        <f t="shared" si="56"/>
        <v>studio</v>
      </c>
      <c r="BZ61" t="str">
        <f t="shared" si="57"/>
        <v>flash</v>
      </c>
      <c r="CA61" t="str">
        <f t="shared" si="58"/>
        <v>Mar</v>
      </c>
      <c r="CB61" t="str">
        <f t="shared" si="59"/>
        <v>FLASH</v>
      </c>
      <c r="CC61">
        <f t="shared" si="60"/>
        <v>15</v>
      </c>
      <c r="CD61">
        <f t="shared" si="61"/>
        <v>16</v>
      </c>
      <c r="CE61">
        <f t="shared" si="62"/>
        <v>27</v>
      </c>
      <c r="CF61">
        <f t="shared" si="63"/>
        <v>6</v>
      </c>
      <c r="CG61">
        <f t="shared" si="64"/>
        <v>21</v>
      </c>
      <c r="CH61">
        <f t="shared" si="65"/>
        <v>8</v>
      </c>
      <c r="CI61">
        <f t="shared" si="66"/>
        <v>7</v>
      </c>
      <c r="CJ61" t="str">
        <f t="shared" si="67"/>
        <v>Not found</v>
      </c>
      <c r="CK61">
        <f t="shared" si="68"/>
        <v>14</v>
      </c>
      <c r="CL61">
        <f t="shared" si="69"/>
        <v>4</v>
      </c>
      <c r="CM61">
        <f t="shared" si="70"/>
        <v>21</v>
      </c>
      <c r="CN61">
        <f t="shared" si="71"/>
        <v>6</v>
      </c>
      <c r="CO61">
        <f t="shared" si="72"/>
        <v>21</v>
      </c>
      <c r="CP61">
        <f t="shared" si="73"/>
        <v>10</v>
      </c>
      <c r="CQ61">
        <f t="shared" si="74"/>
        <v>15</v>
      </c>
      <c r="CR61">
        <f t="shared" si="75"/>
        <v>7</v>
      </c>
      <c r="CS61">
        <f t="shared" si="76"/>
        <v>9</v>
      </c>
      <c r="CT61">
        <f t="shared" si="77"/>
        <v>10</v>
      </c>
      <c r="CU61">
        <f t="shared" si="78"/>
        <v>23</v>
      </c>
      <c r="CV61">
        <f t="shared" si="79"/>
        <v>3</v>
      </c>
      <c r="CW61" t="str">
        <f t="shared" si="80"/>
        <v>Customer ID060</v>
      </c>
      <c r="CX61" t="str">
        <f t="shared" si="81"/>
        <v>MEERA.KULKARNI[AT]CORPORATE.IN</v>
      </c>
      <c r="CY61" t="str">
        <f t="shared" si="82"/>
        <v>Product-FLASH-060</v>
      </c>
      <c r="CZ61" t="str">
        <f t="shared" si="83"/>
        <v>prd_flash_060</v>
      </c>
      <c r="DA61" t="str">
        <f t="shared" si="84"/>
        <v>DEPARTMENT-STUDIO-060</v>
      </c>
      <c r="DB61" t="str">
        <f t="shared" si="85"/>
        <v>MEERA.KULKARNI@CORPORATE.IN</v>
      </c>
      <c r="DC61" t="str">
        <f t="shared" si="86"/>
        <v>HTTPS://FLASH.IN</v>
      </c>
      <c r="DD61" t="str">
        <f t="shared" si="87"/>
        <v>meera/KULKARNI//</v>
      </c>
      <c r="DE61" t="str">
        <f t="shared" si="88"/>
        <v>Corporate</v>
      </c>
      <c r="DF61" t="str">
        <f t="shared" si="89"/>
        <v>Solapur; MAHARASHTRA;413001</v>
      </c>
      <c r="DG61" t="str">
        <f t="shared" si="90"/>
        <v>STUDIO MANAGER</v>
      </c>
      <c r="DH61" t="str">
        <f t="shared" si="91"/>
        <v>+91-9123098765</v>
      </c>
      <c r="DI61" t="str">
        <f t="shared" si="92"/>
        <v xml:space="preserve">  FLASH photography PRO  </v>
      </c>
      <c r="DJ61" t="str">
        <f t="shared" si="93"/>
        <v>https:://flash.in</v>
      </c>
      <c r="DK61" t="str">
        <f t="shared" si="94"/>
        <v>741  South  Sadar  Bazar</v>
      </c>
      <c r="DL61" t="str">
        <f t="shared" si="95"/>
        <v>MEERA.KULKARNI</v>
      </c>
      <c r="DM61" t="str">
        <f t="shared" si="96"/>
        <v>meera.KULKARNI@  FLASH photography PRO  .com</v>
      </c>
      <c r="DN61" t="str">
        <f t="shared" si="97"/>
        <v>meera</v>
      </c>
      <c r="DO61" t="str">
        <f t="shared" si="98"/>
        <v>KULKARNI</v>
      </c>
      <c r="DP61" t="str">
        <f t="shared" si="99"/>
        <v>KULKARNI,meera</v>
      </c>
      <c r="DQ61" t="str">
        <f t="shared" si="100"/>
        <v>Name has14characters</v>
      </c>
      <c r="DR61" t="str">
        <f t="shared" si="101"/>
        <v>Check Domain</v>
      </c>
      <c r="DS61" t="str">
        <f t="shared" si="102"/>
        <v>+91-</v>
      </c>
      <c r="DT61" t="str">
        <f t="shared" si="103"/>
        <v>Cus060</v>
      </c>
      <c r="DU61" t="str">
        <f t="shared" si="104"/>
        <v>mkulkarni</v>
      </c>
      <c r="DV61" t="str">
        <f t="shared" si="105"/>
        <v>prd060</v>
      </c>
      <c r="DW61" t="str">
        <f t="shared" si="106"/>
        <v>+91-9123098765</v>
      </c>
      <c r="DX61" t="str">
        <f t="shared" si="107"/>
        <v>2025</v>
      </c>
      <c r="DY61" t="str">
        <f t="shared" si="108"/>
        <v>m</v>
      </c>
      <c r="DZ61" t="str">
        <f t="shared" si="109"/>
        <v>meeraKULKARNI@  FLASH photography PRO  .com</v>
      </c>
      <c r="EA61" t="str">
        <f t="shared" si="110"/>
        <v/>
      </c>
      <c r="EB61" t="str">
        <f t="shared" si="111"/>
        <v>CORPORATE.IN</v>
      </c>
      <c r="EC61">
        <f t="shared" si="112"/>
        <v>21</v>
      </c>
      <c r="ED61" t="str">
        <f t="shared" si="113"/>
        <v>So60</v>
      </c>
      <c r="EE61" t="str">
        <f t="shared" si="114"/>
        <v>Solapur- MAHARASHTRA(413001)</v>
      </c>
      <c r="EF61" t="str">
        <f t="shared" si="115"/>
        <v>919123098765</v>
      </c>
      <c r="EG61" t="str">
        <f t="shared" si="116"/>
        <v>CUST-060</v>
      </c>
      <c r="EH61" t="str">
        <f t="shared" si="117"/>
        <v>public</v>
      </c>
      <c r="EI61" t="str">
        <f t="shared" si="118"/>
        <v>PRD-060-09Mar25</v>
      </c>
      <c r="EJ61" t="str">
        <f t="shared" si="119"/>
        <v>Corporate</v>
      </c>
    </row>
    <row r="62" spans="1:140" x14ac:dyDescent="0.3">
      <c r="A62" t="s">
        <v>797</v>
      </c>
      <c r="B62" t="s">
        <v>1526</v>
      </c>
      <c r="C62" t="s">
        <v>1527</v>
      </c>
      <c r="D62" t="s">
        <v>798</v>
      </c>
      <c r="E62" t="s">
        <v>799</v>
      </c>
      <c r="F62" t="s">
        <v>800</v>
      </c>
      <c r="G62" t="s">
        <v>801</v>
      </c>
      <c r="H62" t="s">
        <v>1669</v>
      </c>
      <c r="I62" t="s">
        <v>1670</v>
      </c>
      <c r="J62">
        <v>302001</v>
      </c>
      <c r="K62" t="str">
        <f t="shared" si="9"/>
        <v>jaipur, RAJASTHAN,302001</v>
      </c>
      <c r="L62" t="s">
        <v>802</v>
      </c>
      <c r="M62" t="s">
        <v>803</v>
      </c>
      <c r="N62" t="s">
        <v>804</v>
      </c>
      <c r="O62" t="s">
        <v>78</v>
      </c>
      <c r="P62" t="s">
        <v>805</v>
      </c>
      <c r="Q62" t="s">
        <v>806</v>
      </c>
      <c r="R62" t="s">
        <v>807</v>
      </c>
      <c r="S62" t="s">
        <v>808</v>
      </c>
      <c r="T62" t="s">
        <v>809</v>
      </c>
      <c r="U62" t="str">
        <f t="shared" si="120"/>
        <v>SANDEEP CHAUHAN</v>
      </c>
      <c r="V62" t="str">
        <f t="shared" si="121"/>
        <v>sandeep.chauhan@mail.in</v>
      </c>
      <c r="W62" t="str">
        <f t="shared" si="10"/>
        <v>Jaipur</v>
      </c>
      <c r="X62" t="str">
        <f t="shared" si="122"/>
        <v>sandeep chauhan</v>
      </c>
      <c r="Y62" t="str">
        <f t="shared" si="11"/>
        <v>RETAIL</v>
      </c>
      <c r="Z62" t="str">
        <f t="shared" si="12"/>
        <v>memory cards india</v>
      </c>
      <c r="AA62" t="str">
        <f t="shared" si="13"/>
        <v>Tech Manager</v>
      </c>
      <c r="AB62" t="str">
        <f t="shared" si="123"/>
        <v>852 C-Scheme</v>
      </c>
      <c r="AC62" t="str">
        <f t="shared" si="14"/>
        <v>DEPT-TECH-061</v>
      </c>
      <c r="AD62" t="str">
        <f t="shared" si="15"/>
        <v>Sandisk 128Gb Sd Card</v>
      </c>
      <c r="AE62" t="str">
        <f t="shared" si="16"/>
        <v>www.memory.com</v>
      </c>
      <c r="AF62" t="str">
        <f t="shared" si="17"/>
        <v>UHS-II speed class</v>
      </c>
      <c r="AG62" t="str">
        <f t="shared" si="124"/>
        <v>CUST061</v>
      </c>
      <c r="AH62" t="str">
        <f t="shared" si="18"/>
        <v>PRD-MEM-061</v>
      </c>
      <c r="AI62" t="str">
        <f t="shared" si="125"/>
        <v>Sandeep Chauhan</v>
      </c>
      <c r="AJ62" t="str">
        <f t="shared" si="126"/>
        <v>(0141) 9876-5432</v>
      </c>
      <c r="AK62" t="str">
        <f t="shared" si="19"/>
        <v>retail</v>
      </c>
      <c r="AL62" t="str">
        <f t="shared" si="20"/>
        <v>Memory Cards India</v>
      </c>
      <c r="AM62" t="str">
        <f t="shared" si="127"/>
        <v>sandeep.chauhan@mail.in</v>
      </c>
      <c r="AN62" t="str">
        <f t="shared" si="21"/>
        <v>TECH MANAGER</v>
      </c>
      <c r="AO62" t="str">
        <f t="shared" si="128"/>
        <v>CUST061-sandeep chauhan</v>
      </c>
      <c r="AP62" t="str">
        <f t="shared" si="22"/>
        <v>sandeep chauhan</v>
      </c>
      <c r="AQ62" t="str">
        <f t="shared" si="23"/>
        <v>jaipur, RAJASTHAN</v>
      </c>
      <c r="AR62" t="str">
        <f t="shared" si="24"/>
        <v>prd-mem-061:SANDISK 128GB SD CARD</v>
      </c>
      <c r="AS62" t="str">
        <f t="shared" si="25"/>
        <v>sandeep.chauhan@mail.in|(0141) 9876-5432</v>
      </c>
      <c r="AT62" t="str">
        <f t="shared" si="26"/>
        <v>memory CARDS india-Tech Manager</v>
      </c>
      <c r="AU62" t="str">
        <f t="shared" si="27"/>
        <v>retail 16-Mar-2025</v>
      </c>
      <c r="AV62" t="str">
        <f t="shared" si="28"/>
        <v>852 C-Scheme,jaipur, RAJASTHAN,302001</v>
      </c>
      <c r="AW62" t="str">
        <f t="shared" si="29"/>
        <v>dept-tech-061_Tech Manager</v>
      </c>
      <c r="AX62" t="str">
        <f t="shared" si="30"/>
        <v>Customer ID:CUST061</v>
      </c>
      <c r="AY62" t="str">
        <f t="shared" si="31"/>
        <v>Email:sandeep.chauhan@mail.in</v>
      </c>
      <c r="AZ62" t="str">
        <f t="shared" si="32"/>
        <v>WWW.MEMORY.COM/contact</v>
      </c>
      <c r="BA62" t="str">
        <f t="shared" si="33"/>
        <v>Order Placed On 16-Mar-2025</v>
      </c>
      <c r="BB62" t="str">
        <f t="shared" si="34"/>
        <v>sandeep chauhan(retail)</v>
      </c>
      <c r="BC62" t="str">
        <f t="shared" si="35"/>
        <v>prd-mem-061/SANDISK 128GB SD CARD</v>
      </c>
      <c r="BD62" t="str">
        <f t="shared" si="36"/>
        <v>call (0141) 9876-5432</v>
      </c>
      <c r="BE62" t="str">
        <f t="shared" si="37"/>
        <v>memory CARDS india-dept-tech-061</v>
      </c>
      <c r="BF62" t="str">
        <f t="shared" si="38"/>
        <v>CUST061-61</v>
      </c>
      <c r="BG62" t="str">
        <f t="shared" si="39"/>
        <v>Customer: sandeep chauhan,Type: retail</v>
      </c>
      <c r="BH62" t="str">
        <f t="shared" si="40"/>
        <v>jaipur,india</v>
      </c>
      <c r="BI62" t="str">
        <f t="shared" si="41"/>
        <v>CUST</v>
      </c>
      <c r="BJ62" t="str">
        <f t="shared" si="42"/>
        <v>sandeep.ch</v>
      </c>
      <c r="BK62" t="str">
        <f t="shared" si="43"/>
        <v xml:space="preserve">sandeep </v>
      </c>
      <c r="BL62" t="str">
        <f t="shared" si="44"/>
        <v>prd-m</v>
      </c>
      <c r="BM62" t="str">
        <f t="shared" si="45"/>
        <v>ret</v>
      </c>
      <c r="BN62" t="str">
        <f t="shared" si="46"/>
        <v>(0141) 9</v>
      </c>
      <c r="BO62" t="str">
        <f t="shared" si="47"/>
        <v>mail.in</v>
      </c>
      <c r="BP62" t="str">
        <f t="shared" si="48"/>
        <v>jaipur</v>
      </c>
      <c r="BQ62" t="str">
        <f t="shared" si="49"/>
        <v>T061</v>
      </c>
      <c r="BR62" t="str">
        <f t="shared" si="50"/>
        <v>chauhan</v>
      </c>
      <c r="BS62" t="str">
        <f t="shared" si="51"/>
        <v>em-061</v>
      </c>
      <c r="BU62" t="str">
        <f t="shared" si="52"/>
        <v>-5432</v>
      </c>
      <c r="BV62" t="str">
        <f t="shared" si="53"/>
        <v>302001</v>
      </c>
      <c r="BW62" t="str">
        <f t="shared" si="54"/>
        <v xml:space="preserve"> RAJASTHAN</v>
      </c>
      <c r="BX62" t="str">
        <f t="shared" si="55"/>
        <v>061</v>
      </c>
      <c r="BY62" t="str">
        <f t="shared" si="56"/>
        <v>tech</v>
      </c>
      <c r="BZ62" t="str">
        <f t="shared" si="57"/>
        <v>mem</v>
      </c>
      <c r="CA62" t="str">
        <f t="shared" si="58"/>
        <v>Mar</v>
      </c>
      <c r="CB62" t="str">
        <f t="shared" si="59"/>
        <v xml:space="preserve">mory </v>
      </c>
      <c r="CC62">
        <f t="shared" si="60"/>
        <v>16</v>
      </c>
      <c r="CD62">
        <f t="shared" si="61"/>
        <v>15</v>
      </c>
      <c r="CE62">
        <f t="shared" si="62"/>
        <v>23</v>
      </c>
      <c r="CF62">
        <f t="shared" si="63"/>
        <v>8</v>
      </c>
      <c r="CG62">
        <f t="shared" si="64"/>
        <v>21</v>
      </c>
      <c r="CH62">
        <f t="shared" si="65"/>
        <v>7</v>
      </c>
      <c r="CI62">
        <f t="shared" si="66"/>
        <v>7</v>
      </c>
      <c r="CJ62" t="str">
        <f t="shared" si="67"/>
        <v>Not found</v>
      </c>
      <c r="CK62">
        <f t="shared" si="68"/>
        <v>16</v>
      </c>
      <c r="CL62">
        <f t="shared" si="69"/>
        <v>4</v>
      </c>
      <c r="CM62">
        <f t="shared" si="70"/>
        <v>12</v>
      </c>
      <c r="CN62">
        <f t="shared" si="71"/>
        <v>8</v>
      </c>
      <c r="CO62">
        <f t="shared" si="72"/>
        <v>18</v>
      </c>
      <c r="CP62">
        <f t="shared" si="73"/>
        <v>8</v>
      </c>
      <c r="CQ62">
        <f t="shared" si="74"/>
        <v>13</v>
      </c>
      <c r="CR62" t="str">
        <f t="shared" si="75"/>
        <v>not found</v>
      </c>
      <c r="CS62">
        <f t="shared" si="76"/>
        <v>6</v>
      </c>
      <c r="CT62">
        <f t="shared" si="77"/>
        <v>8</v>
      </c>
      <c r="CU62">
        <f t="shared" si="78"/>
        <v>22</v>
      </c>
      <c r="CV62">
        <f t="shared" si="79"/>
        <v>3</v>
      </c>
      <c r="CW62" t="str">
        <f t="shared" si="80"/>
        <v>Customer ID061</v>
      </c>
      <c r="CX62" t="str">
        <f t="shared" si="81"/>
        <v>sandeep.chauhan[AT]mail.in</v>
      </c>
      <c r="CY62" t="str">
        <f t="shared" si="82"/>
        <v>Product-MEM-061</v>
      </c>
      <c r="CZ62" t="str">
        <f t="shared" si="83"/>
        <v>prd_mem_061</v>
      </c>
      <c r="DA62" t="str">
        <f t="shared" si="84"/>
        <v>DEPARTMENT-TECH-061</v>
      </c>
      <c r="DB62" t="str">
        <f t="shared" si="85"/>
        <v>SANDEEP.CHAUHAN@MAIL.IN</v>
      </c>
      <c r="DC62" t="str">
        <f t="shared" si="86"/>
        <v>https://www..MEMORY.COM</v>
      </c>
      <c r="DD62" t="str">
        <f t="shared" si="87"/>
        <v>sandeep/chauhan</v>
      </c>
      <c r="DE62" t="str">
        <f t="shared" si="88"/>
        <v>RETAIL CUSTOMER</v>
      </c>
      <c r="DF62" t="str">
        <f t="shared" si="89"/>
        <v>jaipur; RAJASTHAN;302001</v>
      </c>
      <c r="DG62" t="str">
        <f t="shared" si="90"/>
        <v>Tech Manager</v>
      </c>
      <c r="DH62" t="str">
        <f t="shared" si="91"/>
        <v xml:space="preserve"> 0141  9876-5432</v>
      </c>
      <c r="DI62" t="str">
        <f t="shared" si="92"/>
        <v>memory CARDS india</v>
      </c>
      <c r="DJ62" t="str">
        <f t="shared" si="93"/>
        <v>WWW.MEMORY.COM</v>
      </c>
      <c r="DK62" t="str">
        <f t="shared" si="94"/>
        <v>852  C-Scheme</v>
      </c>
      <c r="DL62" t="str">
        <f t="shared" si="95"/>
        <v>sandeep.chauhan</v>
      </c>
      <c r="DM62" t="str">
        <f t="shared" si="96"/>
        <v>sandeep.chauhan@memory CARDS india.com</v>
      </c>
      <c r="DN62" t="str">
        <f t="shared" si="97"/>
        <v>sandeep</v>
      </c>
      <c r="DO62" t="str">
        <f t="shared" si="98"/>
        <v>chauhan</v>
      </c>
      <c r="DP62" t="str">
        <f t="shared" si="99"/>
        <v>chauhan,sandeep</v>
      </c>
      <c r="DQ62" t="str">
        <f t="shared" si="100"/>
        <v>Name has15characters</v>
      </c>
      <c r="DR62" t="str">
        <f t="shared" si="101"/>
        <v>Check Domain</v>
      </c>
      <c r="DS62" t="str">
        <f t="shared" si="102"/>
        <v>(014</v>
      </c>
      <c r="DT62" t="str">
        <f t="shared" si="103"/>
        <v>CUS061</v>
      </c>
      <c r="DU62" t="str">
        <f t="shared" si="104"/>
        <v>schauhan</v>
      </c>
      <c r="DV62" t="str">
        <f t="shared" si="105"/>
        <v>prd061</v>
      </c>
      <c r="DW62" t="str">
        <f t="shared" si="106"/>
        <v>(0141) 9876-5432</v>
      </c>
      <c r="DX62" t="str">
        <f t="shared" si="107"/>
        <v>2025</v>
      </c>
      <c r="DY62" t="str">
        <f t="shared" si="108"/>
        <v>s</v>
      </c>
      <c r="DZ62" t="str">
        <f t="shared" si="109"/>
        <v>sandeepchauhan@memory CARDS india.com</v>
      </c>
      <c r="EA62" t="str">
        <f t="shared" si="110"/>
        <v>Retail</v>
      </c>
      <c r="EB62" t="str">
        <f t="shared" si="111"/>
        <v>mail.in</v>
      </c>
      <c r="EC62">
        <f t="shared" si="112"/>
        <v>21</v>
      </c>
      <c r="ED62" t="str">
        <f t="shared" si="113"/>
        <v>ja61</v>
      </c>
      <c r="EE62" t="str">
        <f t="shared" si="114"/>
        <v>jaipur- RAJASTHAN(302001)</v>
      </c>
      <c r="EF62" t="str">
        <f t="shared" si="115"/>
        <v>014198765432</v>
      </c>
      <c r="EG62" t="str">
        <f t="shared" si="116"/>
        <v>CUST-061</v>
      </c>
      <c r="EH62" t="str">
        <f t="shared" si="117"/>
        <v>public</v>
      </c>
      <c r="EI62" t="str">
        <f t="shared" si="118"/>
        <v>PRD-061-16Mar25</v>
      </c>
      <c r="EJ62" t="str">
        <f t="shared" si="119"/>
        <v>Retail</v>
      </c>
    </row>
    <row r="63" spans="1:140" x14ac:dyDescent="0.3">
      <c r="A63" t="s">
        <v>810</v>
      </c>
      <c r="B63" t="s">
        <v>1528</v>
      </c>
      <c r="C63" t="s">
        <v>1462</v>
      </c>
      <c r="D63" t="s">
        <v>811</v>
      </c>
      <c r="E63" t="s">
        <v>812</v>
      </c>
      <c r="F63" t="s">
        <v>813</v>
      </c>
      <c r="G63" t="s">
        <v>814</v>
      </c>
      <c r="H63" t="s">
        <v>1671</v>
      </c>
      <c r="I63" t="s">
        <v>1601</v>
      </c>
      <c r="J63">
        <v>342001</v>
      </c>
      <c r="K63" t="str">
        <f t="shared" si="9"/>
        <v>JODHPUR, Rajasthan,342001</v>
      </c>
      <c r="L63" t="s">
        <v>815</v>
      </c>
      <c r="M63" t="s">
        <v>816</v>
      </c>
      <c r="N63" t="s">
        <v>817</v>
      </c>
      <c r="O63" t="s">
        <v>36</v>
      </c>
      <c r="P63" t="s">
        <v>818</v>
      </c>
      <c r="Q63" t="s">
        <v>819</v>
      </c>
      <c r="R63" t="s">
        <v>820</v>
      </c>
      <c r="S63" t="s">
        <v>821</v>
      </c>
      <c r="T63" t="s">
        <v>822</v>
      </c>
      <c r="U63" t="str">
        <f t="shared" si="120"/>
        <v xml:space="preserve">  RASHMI AGARWAL</v>
      </c>
      <c r="V63" t="str">
        <f t="shared" si="121"/>
        <v>rashmi_agarwal@email.in</v>
      </c>
      <c r="W63" t="str">
        <f t="shared" si="10"/>
        <v>Jodhpur</v>
      </c>
      <c r="X63" t="str">
        <f t="shared" si="122"/>
        <v>RASHMI agarwal</v>
      </c>
      <c r="Y63" t="str">
        <f t="shared" si="11"/>
        <v>WHOLESALE</v>
      </c>
      <c r="Z63" t="str">
        <f t="shared" si="12"/>
        <v>camera bag solutions</v>
      </c>
      <c r="AA63" t="str">
        <f t="shared" si="13"/>
        <v>Retail Head</v>
      </c>
      <c r="AB63" t="str">
        <f t="shared" si="123"/>
        <v>963 Paota</v>
      </c>
      <c r="AC63" t="str">
        <f t="shared" si="14"/>
        <v>DEPT-RETAIL-062</v>
      </c>
      <c r="AD63" t="str">
        <f t="shared" si="15"/>
        <v>Lowepro Camera Backpack</v>
      </c>
      <c r="AE63" t="str">
        <f t="shared" si="16"/>
        <v>www.camerabags.in</v>
      </c>
      <c r="AF63" t="str">
        <f t="shared" si="17"/>
        <v>Laptop compartment needed</v>
      </c>
      <c r="AG63" t="str">
        <f t="shared" si="124"/>
        <v>CUST062</v>
      </c>
      <c r="AH63" t="str">
        <f t="shared" si="18"/>
        <v>PRD-BAG-062</v>
      </c>
      <c r="AI63" t="str">
        <f t="shared" si="125"/>
        <v xml:space="preserve">  Rashmi Agarwal</v>
      </c>
      <c r="AJ63" t="str">
        <f t="shared" si="126"/>
        <v>0291-3698741</v>
      </c>
      <c r="AK63" t="str">
        <f t="shared" si="19"/>
        <v>wholesale</v>
      </c>
      <c r="AL63" t="str">
        <f t="shared" si="20"/>
        <v>Camera Bag Solutions</v>
      </c>
      <c r="AM63" t="str">
        <f t="shared" si="127"/>
        <v>rashmi_agarwal@email.in</v>
      </c>
      <c r="AN63" t="str">
        <f t="shared" si="21"/>
        <v>RETAIL HEAD</v>
      </c>
      <c r="AO63" t="str">
        <f t="shared" si="128"/>
        <v>cust062-  RASHMI agarwal</v>
      </c>
      <c r="AP63" t="str">
        <f t="shared" si="22"/>
        <v>RASHMI agarwal</v>
      </c>
      <c r="AQ63" t="str">
        <f t="shared" si="23"/>
        <v>JODHPUR, Rajasthan</v>
      </c>
      <c r="AR63" t="str">
        <f t="shared" si="24"/>
        <v>PRD-BAG-062:LOWEPRO camera BACKPACK</v>
      </c>
      <c r="AS63" t="str">
        <f t="shared" si="25"/>
        <v>rashmi_agarwal@email.in|0291-3698741</v>
      </c>
      <c r="AT63" t="str">
        <f t="shared" si="26"/>
        <v>CAMERA bag solutions-Retail Head</v>
      </c>
      <c r="AU63" t="str">
        <f t="shared" si="27"/>
        <v>wholesale 23-Mar-2025</v>
      </c>
      <c r="AV63" t="str">
        <f t="shared" si="28"/>
        <v xml:space="preserve">  963 Paota  ,JODHPUR, Rajasthan,342001</v>
      </c>
      <c r="AW63" t="str">
        <f t="shared" si="29"/>
        <v>DEPT-RETAIL-062_Retail Head</v>
      </c>
      <c r="AX63" t="str">
        <f t="shared" si="30"/>
        <v>Customer ID:cust062</v>
      </c>
      <c r="AY63" t="str">
        <f t="shared" si="31"/>
        <v>Email:rashmi_agarwal@email.in</v>
      </c>
      <c r="AZ63" t="str">
        <f t="shared" si="32"/>
        <v>www.camerabags.in/contact</v>
      </c>
      <c r="BA63" t="str">
        <f t="shared" si="33"/>
        <v>Order Placed On 23-Mar-2025</v>
      </c>
      <c r="BB63" t="str">
        <f t="shared" si="34"/>
        <v xml:space="preserve">  RASHMI agarwal(wholesale)</v>
      </c>
      <c r="BC63" t="str">
        <f t="shared" si="35"/>
        <v>PRD-BAG-062/LOWEPRO camera BACKPACK</v>
      </c>
      <c r="BD63" t="str">
        <f t="shared" si="36"/>
        <v>call 0291-3698741</v>
      </c>
      <c r="BE63" t="str">
        <f t="shared" si="37"/>
        <v>CAMERA bag solutions-DEPT-RETAIL-062</v>
      </c>
      <c r="BF63" t="str">
        <f t="shared" si="38"/>
        <v>cust062-62</v>
      </c>
      <c r="BG63" t="str">
        <f t="shared" si="39"/>
        <v>Customer:   RASHMI agarwal,Type: wholesale</v>
      </c>
      <c r="BH63" t="str">
        <f t="shared" si="40"/>
        <v>JODHPUR,india</v>
      </c>
      <c r="BI63" t="str">
        <f t="shared" si="41"/>
        <v>cust</v>
      </c>
      <c r="BJ63" t="str">
        <f t="shared" si="42"/>
        <v>rashmi_aga</v>
      </c>
      <c r="BK63" t="str">
        <f t="shared" si="43"/>
        <v xml:space="preserve">RASHMI </v>
      </c>
      <c r="BL63" t="str">
        <f t="shared" si="44"/>
        <v>PRD-B</v>
      </c>
      <c r="BM63" t="str">
        <f t="shared" si="45"/>
        <v>who</v>
      </c>
      <c r="BN63" t="str">
        <f t="shared" si="46"/>
        <v>0291-369</v>
      </c>
      <c r="BO63" t="str">
        <f t="shared" si="47"/>
        <v>email.in</v>
      </c>
      <c r="BP63" t="str">
        <f t="shared" si="48"/>
        <v>JODHPUR</v>
      </c>
      <c r="BQ63" t="str">
        <f t="shared" si="49"/>
        <v>t062</v>
      </c>
      <c r="BR63" t="str">
        <f t="shared" si="50"/>
        <v>garwal</v>
      </c>
      <c r="BS63" t="str">
        <f t="shared" si="51"/>
        <v>AG-062</v>
      </c>
      <c r="BU63" t="str">
        <f t="shared" si="52"/>
        <v>98741</v>
      </c>
      <c r="BV63" t="str">
        <f t="shared" si="53"/>
        <v>342001</v>
      </c>
      <c r="BW63" t="str">
        <f t="shared" si="54"/>
        <v xml:space="preserve"> Rajasthan</v>
      </c>
      <c r="BX63" t="str">
        <f t="shared" si="55"/>
        <v>062</v>
      </c>
      <c r="BY63" t="str">
        <f t="shared" si="56"/>
        <v>RETAIL</v>
      </c>
      <c r="BZ63" t="str">
        <f t="shared" si="57"/>
        <v>BAG</v>
      </c>
      <c r="CA63" t="str">
        <f t="shared" si="58"/>
        <v>Mar</v>
      </c>
      <c r="CB63" t="str">
        <f t="shared" si="59"/>
        <v xml:space="preserve">MERA </v>
      </c>
      <c r="CC63">
        <f t="shared" si="60"/>
        <v>15</v>
      </c>
      <c r="CD63">
        <f t="shared" si="61"/>
        <v>16</v>
      </c>
      <c r="CE63">
        <f t="shared" si="62"/>
        <v>23</v>
      </c>
      <c r="CF63">
        <f t="shared" si="63"/>
        <v>1</v>
      </c>
      <c r="CG63">
        <f t="shared" si="64"/>
        <v>23</v>
      </c>
      <c r="CH63">
        <f t="shared" si="65"/>
        <v>8</v>
      </c>
      <c r="CI63">
        <f t="shared" si="66"/>
        <v>7</v>
      </c>
      <c r="CJ63">
        <f t="shared" si="67"/>
        <v>1</v>
      </c>
      <c r="CK63">
        <f t="shared" si="68"/>
        <v>12</v>
      </c>
      <c r="CL63">
        <f t="shared" si="69"/>
        <v>4</v>
      </c>
      <c r="CM63">
        <f t="shared" si="70"/>
        <v>13</v>
      </c>
      <c r="CN63">
        <f t="shared" si="71"/>
        <v>21</v>
      </c>
      <c r="CO63">
        <f t="shared" si="72"/>
        <v>20</v>
      </c>
      <c r="CP63">
        <f t="shared" si="73"/>
        <v>8</v>
      </c>
      <c r="CQ63">
        <f t="shared" si="74"/>
        <v>15</v>
      </c>
      <c r="CR63" t="str">
        <f t="shared" si="75"/>
        <v>not found</v>
      </c>
      <c r="CS63">
        <f t="shared" si="76"/>
        <v>9</v>
      </c>
      <c r="CT63">
        <f t="shared" si="77"/>
        <v>8</v>
      </c>
      <c r="CU63">
        <f t="shared" si="78"/>
        <v>25</v>
      </c>
      <c r="CV63">
        <f t="shared" si="79"/>
        <v>3</v>
      </c>
      <c r="CW63" t="str">
        <f t="shared" si="80"/>
        <v>Customer ID062</v>
      </c>
      <c r="CX63" t="str">
        <f t="shared" si="81"/>
        <v>rashmi_agarwal[AT]email.in</v>
      </c>
      <c r="CY63" t="str">
        <f t="shared" si="82"/>
        <v>Product-BAG-062</v>
      </c>
      <c r="CZ63" t="str">
        <f t="shared" si="83"/>
        <v>PRD_BAG_062</v>
      </c>
      <c r="DA63" t="str">
        <f t="shared" si="84"/>
        <v>DEPARTMENT-RETAIL-062</v>
      </c>
      <c r="DB63" t="str">
        <f t="shared" si="85"/>
        <v>RASHMI_AGARWAL@EMAIL.IN</v>
      </c>
      <c r="DC63" t="str">
        <f t="shared" si="86"/>
        <v>https://www..CAMERABAGS.IN</v>
      </c>
      <c r="DD63" t="str">
        <f t="shared" si="87"/>
        <v>//RASHMI/agarwal</v>
      </c>
      <c r="DE63" t="str">
        <f t="shared" si="88"/>
        <v>wholesale</v>
      </c>
      <c r="DF63" t="str">
        <f t="shared" si="89"/>
        <v>JODHPUR; Rajasthan;342001</v>
      </c>
      <c r="DG63" t="str">
        <f t="shared" si="90"/>
        <v>Retail Head</v>
      </c>
      <c r="DH63" t="str">
        <f t="shared" si="91"/>
        <v>0291-3698741</v>
      </c>
      <c r="DI63" t="str">
        <f t="shared" si="92"/>
        <v>CAMERA bag solutions</v>
      </c>
      <c r="DJ63" t="str">
        <f t="shared" si="93"/>
        <v>www.camerabags.in</v>
      </c>
      <c r="DK63" t="str">
        <f t="shared" si="94"/>
        <v xml:space="preserve">    963  Paota    </v>
      </c>
      <c r="DL63" t="str">
        <f t="shared" si="95"/>
        <v>rashmi_agarwal</v>
      </c>
      <c r="DM63" t="str">
        <f t="shared" si="96"/>
        <v>RASHMI.agarwal@CAMERA bag solutions.com</v>
      </c>
      <c r="DN63" t="str">
        <f t="shared" si="97"/>
        <v>RASHMI</v>
      </c>
      <c r="DO63" t="str">
        <f t="shared" si="98"/>
        <v>agarwal</v>
      </c>
      <c r="DP63" t="str">
        <f t="shared" si="99"/>
        <v>agarwal,RASHMI</v>
      </c>
      <c r="DQ63" t="str">
        <f t="shared" si="100"/>
        <v>Name has14characters</v>
      </c>
      <c r="DR63" t="str">
        <f t="shared" si="101"/>
        <v>Check Domain</v>
      </c>
      <c r="DS63" t="str">
        <f t="shared" si="102"/>
        <v>0291</v>
      </c>
      <c r="DT63" t="str">
        <f t="shared" si="103"/>
        <v>cus062</v>
      </c>
      <c r="DU63" t="str">
        <f t="shared" si="104"/>
        <v>Ragarwal</v>
      </c>
      <c r="DV63" t="str">
        <f t="shared" si="105"/>
        <v>PRD062</v>
      </c>
      <c r="DW63" t="str">
        <f t="shared" si="106"/>
        <v>0291-3698741</v>
      </c>
      <c r="DX63" t="str">
        <f t="shared" si="107"/>
        <v>2025</v>
      </c>
      <c r="DY63" t="str">
        <f t="shared" si="108"/>
        <v>R</v>
      </c>
      <c r="DZ63" t="str">
        <f t="shared" si="109"/>
        <v>RASHMIagarwal@CAMERA bag solutions.com</v>
      </c>
      <c r="EA63" t="str">
        <f t="shared" si="110"/>
        <v>Wholesale</v>
      </c>
      <c r="EB63" t="str">
        <f t="shared" si="111"/>
        <v>email.in</v>
      </c>
      <c r="EC63">
        <f t="shared" si="112"/>
        <v>23</v>
      </c>
      <c r="ED63" t="str">
        <f t="shared" si="113"/>
        <v>JO62</v>
      </c>
      <c r="EE63" t="str">
        <f t="shared" si="114"/>
        <v>JODHPUR- Rajasthan(342001)</v>
      </c>
      <c r="EF63" t="str">
        <f t="shared" si="115"/>
        <v>02913698741</v>
      </c>
      <c r="EG63" t="str">
        <f t="shared" si="116"/>
        <v>CUST-062</v>
      </c>
      <c r="EH63" t="str">
        <f t="shared" si="117"/>
        <v>public</v>
      </c>
      <c r="EI63" t="str">
        <f t="shared" si="118"/>
        <v>PRD-062-23Mar25</v>
      </c>
      <c r="EJ63" t="str">
        <f t="shared" si="119"/>
        <v>Wholesale</v>
      </c>
    </row>
    <row r="64" spans="1:140" x14ac:dyDescent="0.3">
      <c r="A64" t="s">
        <v>823</v>
      </c>
      <c r="B64" t="s">
        <v>1529</v>
      </c>
      <c r="C64" t="s">
        <v>1507</v>
      </c>
      <c r="D64" t="s">
        <v>824</v>
      </c>
      <c r="E64" t="s">
        <v>825</v>
      </c>
      <c r="F64" t="s">
        <v>826</v>
      </c>
      <c r="G64" t="s">
        <v>827</v>
      </c>
      <c r="H64" t="s">
        <v>1672</v>
      </c>
      <c r="I64" t="s">
        <v>1670</v>
      </c>
      <c r="J64">
        <v>313001</v>
      </c>
      <c r="K64" t="str">
        <f t="shared" si="9"/>
        <v>Udaipur, RAJASTHAN,313001</v>
      </c>
      <c r="L64" t="s">
        <v>828</v>
      </c>
      <c r="M64" t="s">
        <v>829</v>
      </c>
      <c r="N64" t="s">
        <v>830</v>
      </c>
      <c r="O64" t="s">
        <v>132</v>
      </c>
      <c r="P64" t="s">
        <v>831</v>
      </c>
      <c r="Q64" t="s">
        <v>832</v>
      </c>
      <c r="R64" t="s">
        <v>833</v>
      </c>
      <c r="S64" t="s">
        <v>834</v>
      </c>
      <c r="T64" t="s">
        <v>835</v>
      </c>
      <c r="U64" t="str">
        <f t="shared" si="120"/>
        <v xml:space="preserve">ANIL SHARMA  </v>
      </c>
      <c r="V64" t="str">
        <f t="shared" si="121"/>
        <v>anil.sharma@company.com</v>
      </c>
      <c r="W64" t="str">
        <f t="shared" si="10"/>
        <v>Udaipur</v>
      </c>
      <c r="X64" t="str">
        <f t="shared" si="122"/>
        <v>anil SHARMA</v>
      </c>
      <c r="Y64" t="str">
        <f t="shared" si="11"/>
        <v>CORPORATE</v>
      </c>
      <c r="Z64" t="str">
        <f t="shared" si="12"/>
        <v xml:space="preserve">  filter world pro  </v>
      </c>
      <c r="AA64" t="str">
        <f t="shared" si="13"/>
        <v>Imaging Head</v>
      </c>
      <c r="AB64" t="str">
        <f t="shared" si="123"/>
        <v>159 City Palace Road</v>
      </c>
      <c r="AC64" t="str">
        <f t="shared" si="14"/>
        <v>DEPT-IMG-063</v>
      </c>
      <c r="AD64" t="str">
        <f t="shared" si="15"/>
        <v>Hoya Uv Filter 58Mm</v>
      </c>
      <c r="AE64" t="str">
        <f t="shared" si="16"/>
        <v>https://filters.in</v>
      </c>
      <c r="AF64" t="str">
        <f t="shared" si="17"/>
        <v>Multi-coated option</v>
      </c>
      <c r="AG64" t="str">
        <f t="shared" si="124"/>
        <v>CUST063</v>
      </c>
      <c r="AH64" t="str">
        <f t="shared" si="18"/>
        <v>PRD-FILTER-063</v>
      </c>
      <c r="AI64" t="str">
        <f t="shared" si="125"/>
        <v xml:space="preserve">Anil Sharma  </v>
      </c>
      <c r="AJ64" t="str">
        <f t="shared" si="126"/>
        <v>+91-9988234567</v>
      </c>
      <c r="AK64" t="str">
        <f t="shared" si="19"/>
        <v>corporate</v>
      </c>
      <c r="AL64" t="str">
        <f t="shared" si="20"/>
        <v>Filter World Pro</v>
      </c>
      <c r="AM64" t="str">
        <f t="shared" si="127"/>
        <v>anil.sharma@company.com</v>
      </c>
      <c r="AN64" t="str">
        <f t="shared" si="21"/>
        <v>IMAGING HEAD</v>
      </c>
      <c r="AO64" t="str">
        <f t="shared" si="128"/>
        <v xml:space="preserve">Cust063-anil SHARMA  </v>
      </c>
      <c r="AP64" t="str">
        <f t="shared" si="22"/>
        <v>anil SHARMA</v>
      </c>
      <c r="AQ64" t="str">
        <f t="shared" si="23"/>
        <v>Udaipur, RAJASTHAN</v>
      </c>
      <c r="AR64" t="str">
        <f t="shared" si="24"/>
        <v>prd-filter-063:HOYA uv FILTER 58mm</v>
      </c>
      <c r="AS64" t="str">
        <f t="shared" si="25"/>
        <v>ANIL.SHARMA@COMPANY.COM|+91-9988234567</v>
      </c>
      <c r="AT64" t="str">
        <f t="shared" si="26"/>
        <v xml:space="preserve">  FILTER world PRO  -IMAGING HEAD</v>
      </c>
      <c r="AU64" t="str">
        <f t="shared" si="27"/>
        <v>Corporate 30-Mar-2025</v>
      </c>
      <c r="AV64" t="str">
        <f t="shared" si="28"/>
        <v>159 City Palace Road,Udaipur, RAJASTHAN,313001</v>
      </c>
      <c r="AW64" t="str">
        <f t="shared" si="29"/>
        <v>dept-img-063_IMAGING HEAD</v>
      </c>
      <c r="AX64" t="str">
        <f t="shared" si="30"/>
        <v>Customer ID:Cust063</v>
      </c>
      <c r="AY64" t="str">
        <f t="shared" si="31"/>
        <v>Email:ANIL.SHARMA@COMPANY.COM</v>
      </c>
      <c r="AZ64" t="str">
        <f t="shared" si="32"/>
        <v>https://filters.in/contact</v>
      </c>
      <c r="BA64" t="str">
        <f t="shared" si="33"/>
        <v>Order Placed On 30-Mar-2025</v>
      </c>
      <c r="BB64" t="str">
        <f t="shared" si="34"/>
        <v>anil SHARMA  (Corporate)</v>
      </c>
      <c r="BC64" t="str">
        <f t="shared" si="35"/>
        <v>prd-filter-063/HOYA uv FILTER 58mm</v>
      </c>
      <c r="BD64" t="str">
        <f t="shared" si="36"/>
        <v>call +91-9988234567</v>
      </c>
      <c r="BE64" t="str">
        <f t="shared" si="37"/>
        <v xml:space="preserve">  FILTER world PRO  -dept-img-063</v>
      </c>
      <c r="BF64" t="str">
        <f t="shared" si="38"/>
        <v>Cust063-63</v>
      </c>
      <c r="BG64" t="str">
        <f t="shared" si="39"/>
        <v>Customer: anil SHARMA  ,Type: Corporate</v>
      </c>
      <c r="BH64" t="str">
        <f t="shared" si="40"/>
        <v>Udaipur,india</v>
      </c>
      <c r="BI64" t="str">
        <f t="shared" si="41"/>
        <v>Cust</v>
      </c>
      <c r="BJ64" t="str">
        <f t="shared" si="42"/>
        <v>ANIL.SHARM</v>
      </c>
      <c r="BK64" t="str">
        <f t="shared" si="43"/>
        <v xml:space="preserve">anil </v>
      </c>
      <c r="BL64" t="str">
        <f t="shared" si="44"/>
        <v>prd-f</v>
      </c>
      <c r="BM64" t="str">
        <f t="shared" si="45"/>
        <v>Cor</v>
      </c>
      <c r="BN64" t="str">
        <f t="shared" si="46"/>
        <v>+91-9988</v>
      </c>
      <c r="BO64" t="str">
        <f t="shared" si="47"/>
        <v>COMPANY.COM</v>
      </c>
      <c r="BP64" t="str">
        <f t="shared" si="48"/>
        <v>Udaipur</v>
      </c>
      <c r="BQ64" t="str">
        <f t="shared" si="49"/>
        <v>t063</v>
      </c>
      <c r="BR64" t="str">
        <f t="shared" si="50"/>
        <v>ARMA</v>
      </c>
      <c r="BS64" t="str">
        <f t="shared" si="51"/>
        <v>er-063</v>
      </c>
      <c r="BU64" t="str">
        <f t="shared" si="52"/>
        <v>34567</v>
      </c>
      <c r="BV64" t="str">
        <f t="shared" si="53"/>
        <v>313001</v>
      </c>
      <c r="BW64" t="str">
        <f t="shared" si="54"/>
        <v xml:space="preserve"> RAJASTHAN</v>
      </c>
      <c r="BX64" t="str">
        <f t="shared" si="55"/>
        <v>063</v>
      </c>
      <c r="BY64" t="str">
        <f t="shared" si="56"/>
        <v>img</v>
      </c>
      <c r="BZ64" t="str">
        <f t="shared" si="57"/>
        <v>filter</v>
      </c>
      <c r="CA64" t="str">
        <f t="shared" si="58"/>
        <v>Mar</v>
      </c>
      <c r="CB64" t="str">
        <f t="shared" si="59"/>
        <v>FILTE</v>
      </c>
      <c r="CC64">
        <f t="shared" si="60"/>
        <v>12</v>
      </c>
      <c r="CD64">
        <f t="shared" si="61"/>
        <v>13</v>
      </c>
      <c r="CE64">
        <f t="shared" si="62"/>
        <v>23</v>
      </c>
      <c r="CF64">
        <f t="shared" si="63"/>
        <v>5</v>
      </c>
      <c r="CG64">
        <f t="shared" si="64"/>
        <v>19</v>
      </c>
      <c r="CH64">
        <f t="shared" si="65"/>
        <v>8</v>
      </c>
      <c r="CI64">
        <f t="shared" si="66"/>
        <v>7</v>
      </c>
      <c r="CJ64" t="str">
        <f t="shared" si="67"/>
        <v>Not found</v>
      </c>
      <c r="CK64">
        <f t="shared" si="68"/>
        <v>14</v>
      </c>
      <c r="CL64">
        <f t="shared" si="69"/>
        <v>4</v>
      </c>
      <c r="CM64">
        <f t="shared" si="70"/>
        <v>20</v>
      </c>
      <c r="CN64">
        <f t="shared" si="71"/>
        <v>5</v>
      </c>
      <c r="CO64">
        <f t="shared" si="72"/>
        <v>16</v>
      </c>
      <c r="CP64">
        <f t="shared" si="73"/>
        <v>11</v>
      </c>
      <c r="CQ64">
        <f t="shared" si="74"/>
        <v>12</v>
      </c>
      <c r="CR64">
        <f t="shared" si="75"/>
        <v>7</v>
      </c>
      <c r="CS64">
        <f t="shared" si="76"/>
        <v>9</v>
      </c>
      <c r="CT64">
        <f t="shared" si="77"/>
        <v>11</v>
      </c>
      <c r="CU64">
        <f t="shared" si="78"/>
        <v>19</v>
      </c>
      <c r="CV64">
        <f t="shared" si="79"/>
        <v>3</v>
      </c>
      <c r="CW64" t="str">
        <f t="shared" si="80"/>
        <v>Customer ID063</v>
      </c>
      <c r="CX64" t="str">
        <f t="shared" si="81"/>
        <v>ANIL.SHARMA[AT]COMPANY.COM</v>
      </c>
      <c r="CY64" t="str">
        <f t="shared" si="82"/>
        <v>Product-FILTER-063</v>
      </c>
      <c r="CZ64" t="str">
        <f t="shared" si="83"/>
        <v>prd_filter_063</v>
      </c>
      <c r="DA64" t="str">
        <f t="shared" si="84"/>
        <v>DEPARTMENT-IMG-063</v>
      </c>
      <c r="DB64" t="str">
        <f t="shared" si="85"/>
        <v>ANIL.SHARMA@COMPANY.in</v>
      </c>
      <c r="DC64" t="str">
        <f t="shared" si="86"/>
        <v>HTTPS://FILTERS.IN</v>
      </c>
      <c r="DD64" t="str">
        <f t="shared" si="87"/>
        <v>anil/SHARMA//</v>
      </c>
      <c r="DE64" t="str">
        <f t="shared" si="88"/>
        <v>Corporate</v>
      </c>
      <c r="DF64" t="str">
        <f t="shared" si="89"/>
        <v>Udaipur; RAJASTHAN;313001</v>
      </c>
      <c r="DG64" t="str">
        <f t="shared" si="90"/>
        <v>IMAGING HEAD</v>
      </c>
      <c r="DH64" t="str">
        <f t="shared" si="91"/>
        <v>+91-9988234567</v>
      </c>
      <c r="DI64" t="str">
        <f t="shared" si="92"/>
        <v xml:space="preserve">  FILTER world PRO  </v>
      </c>
      <c r="DJ64" t="str">
        <f t="shared" si="93"/>
        <v>https:://filters.in</v>
      </c>
      <c r="DK64" t="str">
        <f t="shared" si="94"/>
        <v>159  City  Palace  Road</v>
      </c>
      <c r="DL64" t="str">
        <f t="shared" si="95"/>
        <v>ANIL.SHARMA</v>
      </c>
      <c r="DM64" t="str">
        <f t="shared" si="96"/>
        <v>anil.SHARMA@  FILTER world PRO  .com</v>
      </c>
      <c r="DN64" t="str">
        <f t="shared" si="97"/>
        <v>anil</v>
      </c>
      <c r="DO64" t="str">
        <f t="shared" si="98"/>
        <v>SHARMA</v>
      </c>
      <c r="DP64" t="str">
        <f t="shared" si="99"/>
        <v>SHARMA,anil</v>
      </c>
      <c r="DQ64" t="str">
        <f t="shared" si="100"/>
        <v>Name has11characters</v>
      </c>
      <c r="DR64" t="str">
        <f t="shared" si="101"/>
        <v>Valid</v>
      </c>
      <c r="DS64" t="str">
        <f t="shared" si="102"/>
        <v>+91-</v>
      </c>
      <c r="DT64" t="str">
        <f t="shared" si="103"/>
        <v>Cus063</v>
      </c>
      <c r="DU64" t="str">
        <f t="shared" si="104"/>
        <v>asharma</v>
      </c>
      <c r="DV64" t="str">
        <f t="shared" si="105"/>
        <v>prd063</v>
      </c>
      <c r="DW64" t="str">
        <f t="shared" si="106"/>
        <v>+91-9988234567</v>
      </c>
      <c r="DX64" t="str">
        <f t="shared" si="107"/>
        <v>2025</v>
      </c>
      <c r="DY64" t="str">
        <f t="shared" si="108"/>
        <v>a</v>
      </c>
      <c r="DZ64" t="str">
        <f t="shared" si="109"/>
        <v>anilSHARMA@  FILTER world PRO  .com</v>
      </c>
      <c r="EA64" t="str">
        <f t="shared" si="110"/>
        <v/>
      </c>
      <c r="EB64" t="str">
        <f t="shared" si="111"/>
        <v>COMPANY.COM</v>
      </c>
      <c r="EC64">
        <f t="shared" si="112"/>
        <v>19</v>
      </c>
      <c r="ED64" t="str">
        <f t="shared" si="113"/>
        <v>Ud63</v>
      </c>
      <c r="EE64" t="str">
        <f t="shared" si="114"/>
        <v>Udaipur- RAJASTHAN(313001)</v>
      </c>
      <c r="EF64" t="str">
        <f t="shared" si="115"/>
        <v>919988234567</v>
      </c>
      <c r="EG64" t="str">
        <f t="shared" si="116"/>
        <v>CUST-063</v>
      </c>
      <c r="EH64" t="str">
        <f t="shared" si="117"/>
        <v>public</v>
      </c>
      <c r="EI64" t="str">
        <f t="shared" si="118"/>
        <v>PRD-063-30Mar25</v>
      </c>
      <c r="EJ64" t="str">
        <f t="shared" si="119"/>
        <v>Corporate</v>
      </c>
    </row>
    <row r="65" spans="1:140" x14ac:dyDescent="0.3">
      <c r="A65" t="s">
        <v>836</v>
      </c>
      <c r="B65" t="s">
        <v>1530</v>
      </c>
      <c r="C65" t="s">
        <v>1531</v>
      </c>
      <c r="D65" t="s">
        <v>837</v>
      </c>
      <c r="E65" t="s">
        <v>838</v>
      </c>
      <c r="F65" t="s">
        <v>839</v>
      </c>
      <c r="G65" t="s">
        <v>840</v>
      </c>
      <c r="H65" t="s">
        <v>1673</v>
      </c>
      <c r="I65" t="s">
        <v>1670</v>
      </c>
      <c r="J65">
        <v>324001</v>
      </c>
      <c r="K65" t="str">
        <f t="shared" si="9"/>
        <v>kota, RAJASTHAN,324001</v>
      </c>
      <c r="L65" t="s">
        <v>841</v>
      </c>
      <c r="M65" t="s">
        <v>842</v>
      </c>
      <c r="N65" t="s">
        <v>843</v>
      </c>
      <c r="O65" t="s">
        <v>78</v>
      </c>
      <c r="P65" t="s">
        <v>844</v>
      </c>
      <c r="Q65" t="s">
        <v>845</v>
      </c>
      <c r="R65" t="s">
        <v>846</v>
      </c>
      <c r="S65" t="s">
        <v>847</v>
      </c>
      <c r="T65" t="s">
        <v>848</v>
      </c>
      <c r="U65" t="str">
        <f t="shared" si="120"/>
        <v>SHALINI CHAWLA</v>
      </c>
      <c r="V65" t="str">
        <f t="shared" si="121"/>
        <v>shalini.chawla@mail.in</v>
      </c>
      <c r="W65" t="str">
        <f t="shared" si="10"/>
        <v>Kota</v>
      </c>
      <c r="X65" t="str">
        <f t="shared" si="122"/>
        <v>shalini chawla</v>
      </c>
      <c r="Y65" t="str">
        <f t="shared" si="11"/>
        <v>RETAIL</v>
      </c>
      <c r="Z65" t="str">
        <f t="shared" si="12"/>
        <v>lighting solutions india</v>
      </c>
      <c r="AA65" t="str">
        <f t="shared" si="13"/>
        <v>Content Creator</v>
      </c>
      <c r="AB65" t="str">
        <f t="shared" si="123"/>
        <v>357 Kota Industrial Area</v>
      </c>
      <c r="AC65" t="str">
        <f t="shared" si="14"/>
        <v>DEPT-CONTENT-064</v>
      </c>
      <c r="AD65" t="str">
        <f t="shared" si="15"/>
        <v>Neewer Ring Light 18 Inch</v>
      </c>
      <c r="AE65" t="str">
        <f t="shared" si="16"/>
        <v>www.lighting.com</v>
      </c>
      <c r="AF65" t="str">
        <f t="shared" si="17"/>
        <v>Dimmable option needed</v>
      </c>
      <c r="AG65" t="str">
        <f t="shared" si="124"/>
        <v>CUST064</v>
      </c>
      <c r="AH65" t="str">
        <f t="shared" si="18"/>
        <v>PRD-LIGHT-064</v>
      </c>
      <c r="AI65" t="str">
        <f t="shared" si="125"/>
        <v>Shalini Chawla</v>
      </c>
      <c r="AJ65" t="str">
        <f t="shared" si="126"/>
        <v>(0744) 2468-9753</v>
      </c>
      <c r="AK65" t="str">
        <f t="shared" si="19"/>
        <v>retail</v>
      </c>
      <c r="AL65" t="str">
        <f t="shared" si="20"/>
        <v>Lighting Solutions India</v>
      </c>
      <c r="AM65" t="str">
        <f t="shared" si="127"/>
        <v>shalini.chawla@mail.in</v>
      </c>
      <c r="AN65" t="str">
        <f t="shared" si="21"/>
        <v>CONTENT CREATOR</v>
      </c>
      <c r="AO65" t="str">
        <f t="shared" si="128"/>
        <v>CUST064-shalini chawla</v>
      </c>
      <c r="AP65" t="str">
        <f t="shared" si="22"/>
        <v>shalini chawla</v>
      </c>
      <c r="AQ65" t="str">
        <f t="shared" si="23"/>
        <v>kota, RAJASTHAN</v>
      </c>
      <c r="AR65" t="str">
        <f t="shared" si="24"/>
        <v>prd-light-064:NEEWER ring LIGHT 18 inch</v>
      </c>
      <c r="AS65" t="str">
        <f t="shared" si="25"/>
        <v>shalini.chawla@mail.in|(0744) 2468-9753</v>
      </c>
      <c r="AT65" t="str">
        <f t="shared" si="26"/>
        <v>lighting SOLUTIONS india-Content Creator</v>
      </c>
      <c r="AU65" t="str">
        <f t="shared" si="27"/>
        <v>retail 06-Apr-2025</v>
      </c>
      <c r="AV65" t="str">
        <f t="shared" si="28"/>
        <v>357 Kota Industrial Area,kota, RAJASTHAN,324001</v>
      </c>
      <c r="AW65" t="str">
        <f t="shared" si="29"/>
        <v>dept-content-064_Content Creator</v>
      </c>
      <c r="AX65" t="str">
        <f t="shared" si="30"/>
        <v>Customer ID:CUST064</v>
      </c>
      <c r="AY65" t="str">
        <f t="shared" si="31"/>
        <v>Email:shalini.chawla@mail.in</v>
      </c>
      <c r="AZ65" t="str">
        <f t="shared" si="32"/>
        <v>WWW.LIGHTING.COM/contact</v>
      </c>
      <c r="BA65" t="str">
        <f t="shared" si="33"/>
        <v>Order Placed On 06-Apr-2025</v>
      </c>
      <c r="BB65" t="str">
        <f t="shared" si="34"/>
        <v>shalini chawla(retail)</v>
      </c>
      <c r="BC65" t="str">
        <f t="shared" si="35"/>
        <v>prd-light-064/NEEWER ring LIGHT 18 inch</v>
      </c>
      <c r="BD65" t="str">
        <f t="shared" si="36"/>
        <v>call (0744) 2468-9753</v>
      </c>
      <c r="BE65" t="str">
        <f t="shared" si="37"/>
        <v>lighting SOLUTIONS india-dept-content-064</v>
      </c>
      <c r="BF65" t="str">
        <f t="shared" si="38"/>
        <v>CUST064-64</v>
      </c>
      <c r="BG65" t="str">
        <f t="shared" si="39"/>
        <v>Customer: shalini chawla,Type: retail</v>
      </c>
      <c r="BH65" t="str">
        <f t="shared" si="40"/>
        <v>kota,india</v>
      </c>
      <c r="BI65" t="str">
        <f t="shared" si="41"/>
        <v>CUST</v>
      </c>
      <c r="BJ65" t="str">
        <f t="shared" si="42"/>
        <v>shalini.ch</v>
      </c>
      <c r="BK65" t="str">
        <f t="shared" si="43"/>
        <v xml:space="preserve">shalini </v>
      </c>
      <c r="BL65" t="str">
        <f t="shared" si="44"/>
        <v>prd-l</v>
      </c>
      <c r="BM65" t="str">
        <f t="shared" si="45"/>
        <v>ret</v>
      </c>
      <c r="BN65" t="str">
        <f t="shared" si="46"/>
        <v>(0744) 2</v>
      </c>
      <c r="BO65" t="str">
        <f t="shared" si="47"/>
        <v>mail.in</v>
      </c>
      <c r="BP65" t="str">
        <f t="shared" si="48"/>
        <v>kota</v>
      </c>
      <c r="BQ65" t="str">
        <f t="shared" si="49"/>
        <v>T064</v>
      </c>
      <c r="BR65" t="str">
        <f t="shared" si="50"/>
        <v xml:space="preserve"> chawla</v>
      </c>
      <c r="BS65" t="str">
        <f t="shared" si="51"/>
        <v>ht-064</v>
      </c>
      <c r="BU65" t="str">
        <f t="shared" si="52"/>
        <v>-9753</v>
      </c>
      <c r="BV65" t="str">
        <f t="shared" si="53"/>
        <v>324001</v>
      </c>
      <c r="BW65" t="str">
        <f t="shared" si="54"/>
        <v xml:space="preserve"> RAJASTHAN</v>
      </c>
      <c r="BX65" t="str">
        <f t="shared" si="55"/>
        <v>064</v>
      </c>
      <c r="BY65" t="str">
        <f t="shared" si="56"/>
        <v>content</v>
      </c>
      <c r="BZ65" t="str">
        <f t="shared" si="57"/>
        <v>light</v>
      </c>
      <c r="CA65" t="str">
        <f t="shared" si="58"/>
        <v>Apr</v>
      </c>
      <c r="CB65" t="str">
        <f t="shared" si="59"/>
        <v>ghtin</v>
      </c>
      <c r="CC65">
        <f t="shared" si="60"/>
        <v>15</v>
      </c>
      <c r="CD65">
        <f t="shared" si="61"/>
        <v>14</v>
      </c>
      <c r="CE65">
        <f t="shared" si="62"/>
        <v>22</v>
      </c>
      <c r="CF65">
        <f t="shared" si="63"/>
        <v>8</v>
      </c>
      <c r="CG65">
        <f t="shared" si="64"/>
        <v>25</v>
      </c>
      <c r="CH65">
        <f t="shared" si="65"/>
        <v>5</v>
      </c>
      <c r="CI65">
        <f t="shared" si="66"/>
        <v>7</v>
      </c>
      <c r="CJ65" t="str">
        <f t="shared" si="67"/>
        <v>Not found</v>
      </c>
      <c r="CK65">
        <f t="shared" si="68"/>
        <v>16</v>
      </c>
      <c r="CL65">
        <f t="shared" si="69"/>
        <v>4</v>
      </c>
      <c r="CM65">
        <f t="shared" si="70"/>
        <v>24</v>
      </c>
      <c r="CN65">
        <f t="shared" si="71"/>
        <v>8</v>
      </c>
      <c r="CO65">
        <f t="shared" si="72"/>
        <v>24</v>
      </c>
      <c r="CP65">
        <f t="shared" si="73"/>
        <v>10</v>
      </c>
      <c r="CQ65">
        <f t="shared" si="74"/>
        <v>16</v>
      </c>
      <c r="CR65" t="str">
        <f t="shared" si="75"/>
        <v>not found</v>
      </c>
      <c r="CS65">
        <f t="shared" si="76"/>
        <v>6</v>
      </c>
      <c r="CT65">
        <f t="shared" si="77"/>
        <v>10</v>
      </c>
      <c r="CU65">
        <f t="shared" si="78"/>
        <v>26</v>
      </c>
      <c r="CV65">
        <f t="shared" si="79"/>
        <v>3</v>
      </c>
      <c r="CW65" t="str">
        <f t="shared" si="80"/>
        <v>Customer ID064</v>
      </c>
      <c r="CX65" t="str">
        <f t="shared" si="81"/>
        <v>shalini.chawla[AT]mail.in</v>
      </c>
      <c r="CY65" t="str">
        <f t="shared" si="82"/>
        <v>Product-LIGHT-064</v>
      </c>
      <c r="CZ65" t="str">
        <f t="shared" si="83"/>
        <v>prd_light_064</v>
      </c>
      <c r="DA65" t="str">
        <f t="shared" si="84"/>
        <v>DEPARTMENT-CONTENT-064</v>
      </c>
      <c r="DB65" t="str">
        <f t="shared" si="85"/>
        <v>SHALINI.CHAWLA@MAIL.IN</v>
      </c>
      <c r="DC65" t="str">
        <f t="shared" si="86"/>
        <v>https://www..LIGHTING.COM</v>
      </c>
      <c r="DD65" t="str">
        <f t="shared" si="87"/>
        <v>shalini/chawla</v>
      </c>
      <c r="DE65" t="str">
        <f t="shared" si="88"/>
        <v>RETAIL CUSTOMER</v>
      </c>
      <c r="DF65" t="str">
        <f t="shared" si="89"/>
        <v>kota; RAJASTHAN;324001</v>
      </c>
      <c r="DG65" t="str">
        <f t="shared" si="90"/>
        <v>Content Creator</v>
      </c>
      <c r="DH65" t="str">
        <f t="shared" si="91"/>
        <v xml:space="preserve"> 0744  2468-9753</v>
      </c>
      <c r="DI65" t="str">
        <f t="shared" si="92"/>
        <v>lighting SOLUTIONS india</v>
      </c>
      <c r="DJ65" t="str">
        <f t="shared" si="93"/>
        <v>WWW.LIGHTING.COM</v>
      </c>
      <c r="DK65" t="str">
        <f t="shared" si="94"/>
        <v>357  Kota  Industrial  Area</v>
      </c>
      <c r="DL65" t="str">
        <f t="shared" si="95"/>
        <v>shalini.chawla</v>
      </c>
      <c r="DM65" t="str">
        <f t="shared" si="96"/>
        <v>shalini.chawla@lighting SOLUTIONS india.com</v>
      </c>
      <c r="DN65" t="str">
        <f t="shared" si="97"/>
        <v>shalini</v>
      </c>
      <c r="DO65" t="str">
        <f t="shared" si="98"/>
        <v>chawla</v>
      </c>
      <c r="DP65" t="str">
        <f t="shared" si="99"/>
        <v>chawla,shalini</v>
      </c>
      <c r="DQ65" t="str">
        <f t="shared" si="100"/>
        <v>Name has14characters</v>
      </c>
      <c r="DR65" t="str">
        <f t="shared" si="101"/>
        <v>Check Domain</v>
      </c>
      <c r="DS65" t="str">
        <f t="shared" si="102"/>
        <v>(074</v>
      </c>
      <c r="DT65" t="str">
        <f t="shared" si="103"/>
        <v>CUS064</v>
      </c>
      <c r="DU65" t="str">
        <f t="shared" si="104"/>
        <v>schawla</v>
      </c>
      <c r="DV65" t="str">
        <f t="shared" si="105"/>
        <v>prd064</v>
      </c>
      <c r="DW65" t="str">
        <f t="shared" si="106"/>
        <v>(0744) 2468-9753</v>
      </c>
      <c r="DX65" t="str">
        <f t="shared" si="107"/>
        <v>2025</v>
      </c>
      <c r="DY65" t="str">
        <f t="shared" si="108"/>
        <v>s</v>
      </c>
      <c r="DZ65" t="str">
        <f t="shared" si="109"/>
        <v>shalinichawla@lighting SOLUTIONS india.com</v>
      </c>
      <c r="EA65" t="str">
        <f t="shared" si="110"/>
        <v>Retail</v>
      </c>
      <c r="EB65" t="str">
        <f t="shared" si="111"/>
        <v>mail.in</v>
      </c>
      <c r="EC65">
        <f t="shared" si="112"/>
        <v>25</v>
      </c>
      <c r="ED65" t="str">
        <f t="shared" si="113"/>
        <v>ko64</v>
      </c>
      <c r="EE65" t="str">
        <f t="shared" si="114"/>
        <v>kota- RAJASTHAN(324001)</v>
      </c>
      <c r="EF65" t="str">
        <f t="shared" si="115"/>
        <v>074424689753</v>
      </c>
      <c r="EG65" t="str">
        <f t="shared" si="116"/>
        <v>CUST-064</v>
      </c>
      <c r="EH65" t="str">
        <f t="shared" si="117"/>
        <v>public</v>
      </c>
      <c r="EI65" t="str">
        <f t="shared" si="118"/>
        <v>PRD-064-06Apr25</v>
      </c>
      <c r="EJ65" t="str">
        <f t="shared" si="119"/>
        <v>Retail</v>
      </c>
    </row>
    <row r="66" spans="1:140" x14ac:dyDescent="0.3">
      <c r="A66" t="s">
        <v>849</v>
      </c>
      <c r="B66" t="s">
        <v>1532</v>
      </c>
      <c r="C66" t="s">
        <v>1533</v>
      </c>
      <c r="D66" t="s">
        <v>850</v>
      </c>
      <c r="E66" t="s">
        <v>851</v>
      </c>
      <c r="F66" t="s">
        <v>852</v>
      </c>
      <c r="G66" t="s">
        <v>853</v>
      </c>
      <c r="H66" t="s">
        <v>1674</v>
      </c>
      <c r="I66" t="s">
        <v>1601</v>
      </c>
      <c r="J66">
        <v>305001</v>
      </c>
      <c r="K66" t="str">
        <f t="shared" si="9"/>
        <v>AJMER, Rajasthan,305001</v>
      </c>
      <c r="L66" t="s">
        <v>854</v>
      </c>
      <c r="M66" t="s">
        <v>855</v>
      </c>
      <c r="N66" t="s">
        <v>856</v>
      </c>
      <c r="O66" t="s">
        <v>92</v>
      </c>
      <c r="P66" t="s">
        <v>857</v>
      </c>
      <c r="Q66" t="s">
        <v>858</v>
      </c>
      <c r="R66" t="s">
        <v>859</v>
      </c>
      <c r="S66" t="s">
        <v>860</v>
      </c>
      <c r="T66" t="s">
        <v>861</v>
      </c>
      <c r="U66" t="str">
        <f t="shared" ref="U66:U101" si="129">UPPER(D66)</f>
        <v xml:space="preserve">  MANOJ PANDEY</v>
      </c>
      <c r="V66" t="str">
        <f t="shared" ref="V66:V101" si="130">LOWER(E66)</f>
        <v>manoj_pandey@email.in</v>
      </c>
      <c r="W66" t="str">
        <f t="shared" si="10"/>
        <v>Ajmer</v>
      </c>
      <c r="X66" t="str">
        <f t="shared" ref="X66:X101" si="131">TRIM(D66)</f>
        <v>MANOJ pandey</v>
      </c>
      <c r="Y66" t="str">
        <f t="shared" si="11"/>
        <v>WHOLESALE</v>
      </c>
      <c r="Z66" t="str">
        <f t="shared" si="12"/>
        <v>softbox store india</v>
      </c>
      <c r="AA66" t="str">
        <f t="shared" si="13"/>
        <v>Studio Owner</v>
      </c>
      <c r="AB66" t="str">
        <f t="shared" ref="AB66:AB101" si="132">TRIM(G66)</f>
        <v>753 Vaishali Nagar</v>
      </c>
      <c r="AC66" t="str">
        <f t="shared" si="14"/>
        <v>DEPT-STUDIO-065</v>
      </c>
      <c r="AD66" t="str">
        <f t="shared" si="15"/>
        <v>Godox Softbox 60X60 Cm</v>
      </c>
      <c r="AE66" t="str">
        <f t="shared" si="16"/>
        <v>www.softbox.in</v>
      </c>
      <c r="AF66" t="str">
        <f t="shared" si="17"/>
        <v>Bowens mount type</v>
      </c>
      <c r="AG66" t="str">
        <f t="shared" ref="AG66:AG101" si="133">UPPER(A66)</f>
        <v>CUST065</v>
      </c>
      <c r="AH66" t="str">
        <f t="shared" si="18"/>
        <v>PRD-SOFT-065</v>
      </c>
      <c r="AI66" t="str">
        <f t="shared" ref="AI66:AI101" si="134">PROPER(D66)</f>
        <v xml:space="preserve">  Manoj Pandey</v>
      </c>
      <c r="AJ66" t="str">
        <f t="shared" ref="AJ66:AJ101" si="135">TRIM(F66)</f>
        <v>0145-3698521</v>
      </c>
      <c r="AK66" t="str">
        <f t="shared" si="19"/>
        <v>wholesale</v>
      </c>
      <c r="AL66" t="str">
        <f t="shared" si="20"/>
        <v>Softbox Store India</v>
      </c>
      <c r="AM66" t="str">
        <f t="shared" ref="AM66:AM101" si="136">LOWER(TRIM(E66))</f>
        <v>manoj_pandey@email.in</v>
      </c>
      <c r="AN66" t="str">
        <f t="shared" si="21"/>
        <v>STUDIO OWNER</v>
      </c>
      <c r="AO66" t="str">
        <f t="shared" ref="AO66:AO101" si="137">CONCATENATE(A66,"-",D66)</f>
        <v>cust065-  MANOJ pandey</v>
      </c>
      <c r="AP66" t="str">
        <f t="shared" si="22"/>
        <v>MANOJ pandey</v>
      </c>
      <c r="AQ66" t="str">
        <f t="shared" si="23"/>
        <v>AJMER, Rajasthan</v>
      </c>
      <c r="AR66" t="str">
        <f t="shared" si="24"/>
        <v>PRD-SOFT-065:GODOX softbox 60X60 CM</v>
      </c>
      <c r="AS66" t="str">
        <f t="shared" si="25"/>
        <v>manoj_pandey@email.in|0145-3698521</v>
      </c>
      <c r="AT66" t="str">
        <f t="shared" si="26"/>
        <v>SOFTBOX store INDIA-Studio Owner</v>
      </c>
      <c r="AU66" t="str">
        <f t="shared" si="27"/>
        <v>WholeSale 13-Apr-2025</v>
      </c>
      <c r="AV66" t="str">
        <f t="shared" si="28"/>
        <v xml:space="preserve">  753 Vaishali Nagar  ,AJMER, Rajasthan,305001</v>
      </c>
      <c r="AW66" t="str">
        <f t="shared" si="29"/>
        <v>DEPT-STUDIO-065_Studio Owner</v>
      </c>
      <c r="AX66" t="str">
        <f t="shared" si="30"/>
        <v>Customer ID:cust065</v>
      </c>
      <c r="AY66" t="str">
        <f t="shared" si="31"/>
        <v>Email:manoj_pandey@email.in</v>
      </c>
      <c r="AZ66" t="str">
        <f t="shared" si="32"/>
        <v>www.softbox.in/contact</v>
      </c>
      <c r="BA66" t="str">
        <f t="shared" si="33"/>
        <v>Order Placed On 13-Apr-2025</v>
      </c>
      <c r="BB66" t="str">
        <f t="shared" si="34"/>
        <v xml:space="preserve">  MANOJ pandey(WholeSale)</v>
      </c>
      <c r="BC66" t="str">
        <f t="shared" si="35"/>
        <v>PRD-SOFT-065/GODOX softbox 60X60 CM</v>
      </c>
      <c r="BD66" t="str">
        <f t="shared" si="36"/>
        <v>call 0145-3698521</v>
      </c>
      <c r="BE66" t="str">
        <f t="shared" si="37"/>
        <v>SOFTBOX store INDIA-DEPT-STUDIO-065</v>
      </c>
      <c r="BF66" t="str">
        <f t="shared" si="38"/>
        <v>cust065-65</v>
      </c>
      <c r="BG66" t="str">
        <f t="shared" si="39"/>
        <v>Customer:   MANOJ pandey,Type: WholeSale</v>
      </c>
      <c r="BH66" t="str">
        <f t="shared" si="40"/>
        <v>AJMER,india</v>
      </c>
      <c r="BI66" t="str">
        <f t="shared" si="41"/>
        <v>cust</v>
      </c>
      <c r="BJ66" t="str">
        <f t="shared" si="42"/>
        <v>manoj_pand</v>
      </c>
      <c r="BK66" t="str">
        <f t="shared" si="43"/>
        <v xml:space="preserve">MANOJ </v>
      </c>
      <c r="BL66" t="str">
        <f t="shared" si="44"/>
        <v>PRD-S</v>
      </c>
      <c r="BM66" t="str">
        <f t="shared" si="45"/>
        <v>Who</v>
      </c>
      <c r="BN66" t="str">
        <f t="shared" si="46"/>
        <v>0145-369</v>
      </c>
      <c r="BO66" t="str">
        <f t="shared" si="47"/>
        <v>email.in</v>
      </c>
      <c r="BP66" t="str">
        <f t="shared" si="48"/>
        <v>AJMER</v>
      </c>
      <c r="BQ66" t="str">
        <f t="shared" si="49"/>
        <v>t065</v>
      </c>
      <c r="BR66" t="str">
        <f t="shared" si="50"/>
        <v>andey</v>
      </c>
      <c r="BS66" t="str">
        <f t="shared" si="51"/>
        <v>FT-065</v>
      </c>
      <c r="BU66" t="str">
        <f t="shared" si="52"/>
        <v>98521</v>
      </c>
      <c r="BV66" t="str">
        <f t="shared" si="53"/>
        <v>305001</v>
      </c>
      <c r="BW66" t="str">
        <f t="shared" si="54"/>
        <v xml:space="preserve"> Rajasthan</v>
      </c>
      <c r="BX66" t="str">
        <f t="shared" si="55"/>
        <v>065</v>
      </c>
      <c r="BY66" t="str">
        <f t="shared" si="56"/>
        <v>STUDIO</v>
      </c>
      <c r="BZ66" t="str">
        <f t="shared" si="57"/>
        <v>SOFT</v>
      </c>
      <c r="CA66" t="str">
        <f t="shared" si="58"/>
        <v>Apr</v>
      </c>
      <c r="CB66" t="str">
        <f t="shared" si="59"/>
        <v>FTBOX</v>
      </c>
      <c r="CC66">
        <f t="shared" si="60"/>
        <v>13</v>
      </c>
      <c r="CD66">
        <f t="shared" si="61"/>
        <v>14</v>
      </c>
      <c r="CE66">
        <f t="shared" si="62"/>
        <v>21</v>
      </c>
      <c r="CF66">
        <f t="shared" si="63"/>
        <v>1</v>
      </c>
      <c r="CG66">
        <f t="shared" si="64"/>
        <v>22</v>
      </c>
      <c r="CH66">
        <f t="shared" si="65"/>
        <v>6</v>
      </c>
      <c r="CI66">
        <f t="shared" si="66"/>
        <v>7</v>
      </c>
      <c r="CJ66">
        <f t="shared" si="67"/>
        <v>1</v>
      </c>
      <c r="CK66">
        <f t="shared" si="68"/>
        <v>12</v>
      </c>
      <c r="CL66">
        <f t="shared" si="69"/>
        <v>4</v>
      </c>
      <c r="CM66">
        <f t="shared" si="70"/>
        <v>22</v>
      </c>
      <c r="CN66">
        <f t="shared" si="71"/>
        <v>19</v>
      </c>
      <c r="CO66">
        <f t="shared" si="72"/>
        <v>19</v>
      </c>
      <c r="CP66">
        <f t="shared" si="73"/>
        <v>9</v>
      </c>
      <c r="CQ66">
        <f t="shared" si="74"/>
        <v>15</v>
      </c>
      <c r="CR66" t="str">
        <f t="shared" si="75"/>
        <v>not found</v>
      </c>
      <c r="CS66">
        <f t="shared" si="76"/>
        <v>9</v>
      </c>
      <c r="CT66">
        <f t="shared" si="77"/>
        <v>9</v>
      </c>
      <c r="CU66">
        <f t="shared" si="78"/>
        <v>17</v>
      </c>
      <c r="CV66">
        <f t="shared" si="79"/>
        <v>3</v>
      </c>
      <c r="CW66" t="str">
        <f t="shared" si="80"/>
        <v>Customer ID065</v>
      </c>
      <c r="CX66" t="str">
        <f t="shared" si="81"/>
        <v>manoj_pandey[AT]email.in</v>
      </c>
      <c r="CY66" t="str">
        <f t="shared" si="82"/>
        <v>Product-SOFT-065</v>
      </c>
      <c r="CZ66" t="str">
        <f t="shared" si="83"/>
        <v>PRD_SOFT_065</v>
      </c>
      <c r="DA66" t="str">
        <f t="shared" si="84"/>
        <v>DEPARTMENT-STUDIO-065</v>
      </c>
      <c r="DB66" t="str">
        <f t="shared" si="85"/>
        <v>MANOJ_PANDEY@EMAIL.IN</v>
      </c>
      <c r="DC66" t="str">
        <f t="shared" si="86"/>
        <v>https://www..SOFTBOX.IN</v>
      </c>
      <c r="DD66" t="str">
        <f t="shared" si="87"/>
        <v>//MANOJ/pandey</v>
      </c>
      <c r="DE66" t="str">
        <f t="shared" si="88"/>
        <v>WholeSale</v>
      </c>
      <c r="DF66" t="str">
        <f t="shared" si="89"/>
        <v>AJMER; Rajasthan;305001</v>
      </c>
      <c r="DG66" t="str">
        <f t="shared" si="90"/>
        <v>Studio Owner</v>
      </c>
      <c r="DH66" t="str">
        <f t="shared" si="91"/>
        <v>0145-3698521</v>
      </c>
      <c r="DI66" t="str">
        <f t="shared" si="92"/>
        <v>SOFTBOX store INDIA</v>
      </c>
      <c r="DJ66" t="str">
        <f t="shared" si="93"/>
        <v>www.softbox.in</v>
      </c>
      <c r="DK66" t="str">
        <f t="shared" si="94"/>
        <v xml:space="preserve">    753  Vaishali  Nagar    </v>
      </c>
      <c r="DL66" t="str">
        <f t="shared" si="95"/>
        <v>manoj_pandey</v>
      </c>
      <c r="DM66" t="str">
        <f t="shared" si="96"/>
        <v>MANOJ.pandey@SOFTBOX store INDIA.com</v>
      </c>
      <c r="DN66" t="str">
        <f t="shared" si="97"/>
        <v>MANOJ</v>
      </c>
      <c r="DO66" t="str">
        <f t="shared" si="98"/>
        <v>pandey</v>
      </c>
      <c r="DP66" t="str">
        <f t="shared" si="99"/>
        <v>pandey,MANOJ</v>
      </c>
      <c r="DQ66" t="str">
        <f t="shared" si="100"/>
        <v>Name has12characters</v>
      </c>
      <c r="DR66" t="str">
        <f t="shared" si="101"/>
        <v>Check Domain</v>
      </c>
      <c r="DS66" t="str">
        <f t="shared" si="102"/>
        <v>0145</v>
      </c>
      <c r="DT66" t="str">
        <f t="shared" si="103"/>
        <v>cus065</v>
      </c>
      <c r="DU66" t="str">
        <f t="shared" si="104"/>
        <v>Mpandey</v>
      </c>
      <c r="DV66" t="str">
        <f t="shared" si="105"/>
        <v>PRD065</v>
      </c>
      <c r="DW66" t="str">
        <f t="shared" si="106"/>
        <v>0145-3698521</v>
      </c>
      <c r="DX66" t="str">
        <f t="shared" si="107"/>
        <v>2025</v>
      </c>
      <c r="DY66" t="str">
        <f t="shared" si="108"/>
        <v>M</v>
      </c>
      <c r="DZ66" t="str">
        <f t="shared" si="109"/>
        <v>MANOJpandey@SOFTBOX store INDIA.com</v>
      </c>
      <c r="EA66" t="str">
        <f t="shared" si="110"/>
        <v>Wholesale</v>
      </c>
      <c r="EB66" t="str">
        <f t="shared" si="111"/>
        <v>email.in</v>
      </c>
      <c r="EC66">
        <f t="shared" si="112"/>
        <v>22</v>
      </c>
      <c r="ED66" t="str">
        <f t="shared" si="113"/>
        <v>AJ65</v>
      </c>
      <c r="EE66" t="str">
        <f t="shared" si="114"/>
        <v>AJMER- Rajasthan(305001)</v>
      </c>
      <c r="EF66" t="str">
        <f t="shared" si="115"/>
        <v>01453698521</v>
      </c>
      <c r="EG66" t="str">
        <f t="shared" si="116"/>
        <v>CUST-065</v>
      </c>
      <c r="EH66" t="str">
        <f t="shared" si="117"/>
        <v>public</v>
      </c>
      <c r="EI66" t="str">
        <f t="shared" si="118"/>
        <v>PRD-065-13Apr25</v>
      </c>
      <c r="EJ66" t="str">
        <f t="shared" si="119"/>
        <v>Wholesale</v>
      </c>
    </row>
    <row r="67" spans="1:140" x14ac:dyDescent="0.3">
      <c r="A67" t="s">
        <v>862</v>
      </c>
      <c r="B67" t="s">
        <v>1534</v>
      </c>
      <c r="C67" t="s">
        <v>1535</v>
      </c>
      <c r="D67" t="s">
        <v>863</v>
      </c>
      <c r="E67" t="s">
        <v>864</v>
      </c>
      <c r="F67" t="s">
        <v>865</v>
      </c>
      <c r="G67" t="s">
        <v>866</v>
      </c>
      <c r="H67" t="s">
        <v>1675</v>
      </c>
      <c r="I67" t="s">
        <v>1670</v>
      </c>
      <c r="J67">
        <v>334001</v>
      </c>
      <c r="K67" t="str">
        <f t="shared" ref="K67:K101" si="138">CONCATENATE(H67,",",I67,",",J67)</f>
        <v>Bikaner, RAJASTHAN,334001</v>
      </c>
      <c r="L67" t="s">
        <v>867</v>
      </c>
      <c r="M67" t="s">
        <v>868</v>
      </c>
      <c r="N67" t="s">
        <v>869</v>
      </c>
      <c r="O67" t="s">
        <v>132</v>
      </c>
      <c r="P67" t="s">
        <v>870</v>
      </c>
      <c r="Q67" t="s">
        <v>871</v>
      </c>
      <c r="R67" t="s">
        <v>872</v>
      </c>
      <c r="S67" t="s">
        <v>873</v>
      </c>
      <c r="T67" t="s">
        <v>874</v>
      </c>
      <c r="U67" t="str">
        <f t="shared" si="129"/>
        <v xml:space="preserve">JAYA YADAV  </v>
      </c>
      <c r="V67" t="str">
        <f t="shared" si="130"/>
        <v>jaya.yadav@corporate.in</v>
      </c>
      <c r="W67" t="str">
        <f t="shared" ref="W67:W101" si="139">PROPER(H67)</f>
        <v>Bikaner</v>
      </c>
      <c r="X67" t="str">
        <f t="shared" si="131"/>
        <v>jaya YADAV</v>
      </c>
      <c r="Y67" t="str">
        <f t="shared" ref="Y67:Y101" si="140">UPPER(O67)</f>
        <v>CORPORATE</v>
      </c>
      <c r="Z67" t="str">
        <f t="shared" ref="Z67:Z101" si="141">LOWER(Q67)</f>
        <v xml:space="preserve">  backdrop solutions pro  </v>
      </c>
      <c r="AA67" t="str">
        <f t="shared" ref="AA67:AA101" si="142">PROPER(R67)</f>
        <v>Photo Director</v>
      </c>
      <c r="AB67" t="str">
        <f t="shared" si="132"/>
        <v>951 Rani Bazar</v>
      </c>
      <c r="AC67" t="str">
        <f t="shared" ref="AC67:AC101" si="143">UPPER(S67)</f>
        <v>DEPT-PHOTO-066</v>
      </c>
      <c r="AD67" t="str">
        <f t="shared" ref="AD67:AD101" si="144">PROPER(M67)</f>
        <v>Savage Seamless Backdrop Paper</v>
      </c>
      <c r="AE67" t="str">
        <f t="shared" ref="AE67:AE101" si="145">LOWER(P67)</f>
        <v>https://backdrops.in</v>
      </c>
      <c r="AF67" t="str">
        <f t="shared" ref="AF67:AF101" si="146">TRIM(T67)</f>
        <v>Color: Chroma green</v>
      </c>
      <c r="AG67" t="str">
        <f t="shared" si="133"/>
        <v>CUST066</v>
      </c>
      <c r="AH67" t="str">
        <f t="shared" ref="AH67:AH101" si="147">UPPER(L67)</f>
        <v>PRD-BACK-066</v>
      </c>
      <c r="AI67" t="str">
        <f t="shared" si="134"/>
        <v xml:space="preserve">Jaya Yadav  </v>
      </c>
      <c r="AJ67" t="str">
        <f t="shared" si="135"/>
        <v>+91-9876345678</v>
      </c>
      <c r="AK67" t="str">
        <f t="shared" ref="AK67:AK101" si="148">LOWER(O67)</f>
        <v>corporate</v>
      </c>
      <c r="AL67" t="str">
        <f t="shared" ref="AL67:AL101" si="149">PROPER(TRIM(Q67))</f>
        <v>Backdrop Solutions Pro</v>
      </c>
      <c r="AM67" t="str">
        <f t="shared" si="136"/>
        <v>jaya.yadav@corporate.in</v>
      </c>
      <c r="AN67" t="str">
        <f t="shared" ref="AN67:AN101" si="150">UPPER(TRIM(R67))</f>
        <v>PHOTO DIRECTOR</v>
      </c>
      <c r="AO67" t="str">
        <f t="shared" si="137"/>
        <v xml:space="preserve">Cust066-jaya YADAV  </v>
      </c>
      <c r="AP67" t="str">
        <f t="shared" ref="AP67:AP101" si="151">CONCATENATE(B67," ",C67)</f>
        <v>jaya YADAV</v>
      </c>
      <c r="AQ67" t="str">
        <f t="shared" ref="AQ67:AQ101" si="152">CONCATENATE(H67,",",I67)</f>
        <v>Bikaner, RAJASTHAN</v>
      </c>
      <c r="AR67" t="str">
        <f t="shared" ref="AR67:AR101" si="153">CONCATENATE(L67,":",M67)</f>
        <v>prd-back-066:SAVAGE seamless BACKDROP paper</v>
      </c>
      <c r="AS67" t="str">
        <f t="shared" ref="AS67:AS101" si="154">CONCATENATE(E67,"|",F67)</f>
        <v>JAYA.YADAV@CORPORATE.IN|+91-9876345678</v>
      </c>
      <c r="AT67" t="str">
        <f t="shared" ref="AT67:AT101" si="155">CONCATENATE(Q67,"-",R67)</f>
        <v xml:space="preserve">  BACKDROP solutions PRO  -PHOTO DIRECTOR</v>
      </c>
      <c r="AU67" t="str">
        <f t="shared" ref="AU67:AU101" si="156">CONCATENATE(O67," ",N67)</f>
        <v>Corporate 20-Apr-2025</v>
      </c>
      <c r="AV67" t="str">
        <f t="shared" ref="AV67:AV101" si="157">CONCATENATE(G67,",",H67,",",I67,",",J67)</f>
        <v>951 Rani Bazar,Bikaner, RAJASTHAN,334001</v>
      </c>
      <c r="AW67" t="str">
        <f t="shared" ref="AW67:AW101" si="158">CONCATENATE(S67,"_",R67)</f>
        <v>dept-photo-066_PHOTO DIRECTOR</v>
      </c>
      <c r="AX67" t="str">
        <f t="shared" ref="AX67:AX101" si="159">CONCATENATE("Customer ID:",A67)</f>
        <v>Customer ID:Cust066</v>
      </c>
      <c r="AY67" t="str">
        <f t="shared" ref="AY67:AY101" si="160">CONCATENATE("Email:",E67)</f>
        <v>Email:JAYA.YADAV@CORPORATE.IN</v>
      </c>
      <c r="AZ67" t="str">
        <f t="shared" ref="AZ67:AZ101" si="161">CONCATENATE(P67,"/contact")</f>
        <v>https://backdrops.in/contact</v>
      </c>
      <c r="BA67" t="str">
        <f t="shared" ref="BA67:BA101" si="162">CONCATENATE("Order Placed On ",N67)</f>
        <v>Order Placed On 20-Apr-2025</v>
      </c>
      <c r="BB67" t="str">
        <f t="shared" ref="BB67:BB101" si="163">CONCATENATE(D67,"(",O67,")")</f>
        <v>jaya YADAV  (Corporate)</v>
      </c>
      <c r="BC67" t="str">
        <f t="shared" ref="BC67:BC101" si="164">CONCATENATE(L67,"/",M67)</f>
        <v>prd-back-066/SAVAGE seamless BACKDROP paper</v>
      </c>
      <c r="BD67" t="str">
        <f t="shared" ref="BD67:BD101" si="165">CONCATENATE("call ",F67)</f>
        <v>call +91-9876345678</v>
      </c>
      <c r="BE67" t="str">
        <f t="shared" ref="BE67:BE101" si="166">CONCATENATE(Q67,"-",S67)</f>
        <v xml:space="preserve">  BACKDROP solutions PRO  -dept-photo-066</v>
      </c>
      <c r="BF67" t="str">
        <f t="shared" ref="BF67:BF101" si="167">A67&amp;"-"&amp;ROW(A67)-1</f>
        <v>Cust066-66</v>
      </c>
      <c r="BG67" t="str">
        <f t="shared" ref="BG67:BG101" si="168">CONCATENATE("Customer: ",D67,",","Type: ",O67)</f>
        <v>Customer: jaya YADAV  ,Type: Corporate</v>
      </c>
      <c r="BH67" t="str">
        <f t="shared" ref="BH67:BH101" si="169">CONCATENATE(H67,",india")</f>
        <v>Bikaner,india</v>
      </c>
      <c r="BI67" t="str">
        <f t="shared" ref="BI67:BI101" si="170">LEFT(A67,4)</f>
        <v>Cust</v>
      </c>
      <c r="BJ67" t="str">
        <f t="shared" ref="BJ67:BJ101" si="171">LEFT(E67,10)</f>
        <v>JAYA.YADAV</v>
      </c>
      <c r="BK67" t="str">
        <f t="shared" ref="BK67:BK101" si="172">LEFT(X67,SEARCH(" ",X67))</f>
        <v xml:space="preserve">jaya </v>
      </c>
      <c r="BL67" t="str">
        <f t="shared" ref="BL67:BL101" si="173">LEFT(L67,5)</f>
        <v>prd-b</v>
      </c>
      <c r="BM67" t="str">
        <f t="shared" ref="BM67:BM101" si="174">LEFT(O67,3)</f>
        <v>Cor</v>
      </c>
      <c r="BN67" t="str">
        <f t="shared" ref="BN67:BN101" si="175">LEFT(F67,8)</f>
        <v>+91-9876</v>
      </c>
      <c r="BO67" t="str">
        <f t="shared" ref="BO67:BO101" si="176">MID(E67,SEARCH("@",E67)+1,20)</f>
        <v>CORPORATE.IN</v>
      </c>
      <c r="BP67" t="str">
        <f t="shared" ref="BP67:BP101" si="177">LEFT(K67,SEARCH(",",K67)-1)</f>
        <v>Bikaner</v>
      </c>
      <c r="BQ67" t="str">
        <f t="shared" ref="BQ67:BQ101" si="178">RIGHT(A67,4)</f>
        <v>t066</v>
      </c>
      <c r="BR67" t="str">
        <f t="shared" ref="BR67:BR101" si="179">RIGHT(X67,SEARCH(" ",X67)-1)</f>
        <v>ADAV</v>
      </c>
      <c r="BS67" t="str">
        <f t="shared" ref="BS67:BS101" si="180">RIGHT(L67,6)</f>
        <v>ck-066</v>
      </c>
      <c r="BU67" t="str">
        <f t="shared" ref="BU67:BU101" si="181">RIGHT(F67,5)</f>
        <v>45678</v>
      </c>
      <c r="BV67" t="str">
        <f t="shared" ref="BV67:BV101" si="182">RIGHT(K67,6)</f>
        <v>334001</v>
      </c>
      <c r="BW67" t="str">
        <f t="shared" ref="BW67:BW101" si="183">MID(K67,FIND(",",K67)+1,FIND(",",K67,FIND(",",K67)+1)-FIND(",",K67)-1)</f>
        <v xml:space="preserve"> RAJASTHAN</v>
      </c>
      <c r="BX67" t="str">
        <f t="shared" ref="BX67:BX101" si="184">MID(A67,5,3)</f>
        <v>066</v>
      </c>
      <c r="BY67" t="str">
        <f t="shared" ref="BY67:BY101" si="185">MID(S67,FIND("-",S67)+1,FIND("-",S67,FIND("-",S67)+1)-FIND("-",S67)-1)</f>
        <v>photo</v>
      </c>
      <c r="BZ67" t="str">
        <f t="shared" ref="BZ67:BZ101" si="186">MID(L67,FIND("-",L67)+1,FIND("-",L67,FIND("-",L67)+1)-FIND("-",L67)-1)</f>
        <v>back</v>
      </c>
      <c r="CA67" t="str">
        <f t="shared" ref="CA67:CA101" si="187">MID(N67,FIND("-",N67)+1,FIND("-",N67,FIND("-",N67)+1)-FIND("-",N67)-1)</f>
        <v>Apr</v>
      </c>
      <c r="CB67" t="str">
        <f t="shared" ref="CB67:CB101" si="188">MID(Q67,3,5)</f>
        <v>BACKD</v>
      </c>
      <c r="CC67">
        <f t="shared" ref="CC67:CC101" si="189">SEARCH("@",E67)</f>
        <v>11</v>
      </c>
      <c r="CD67">
        <f t="shared" ref="CD67:CD101" si="190">LEN(D67)</f>
        <v>12</v>
      </c>
      <c r="CE67">
        <f t="shared" ref="CE67:CE101" si="191">LEN(E67)</f>
        <v>23</v>
      </c>
      <c r="CF67">
        <f t="shared" ref="CF67:CF101" si="192">FIND(" ",D67)</f>
        <v>5</v>
      </c>
      <c r="CG67">
        <f t="shared" ref="CG67:CG101" si="193">LEN(M67)</f>
        <v>30</v>
      </c>
      <c r="CH67">
        <f t="shared" ref="CH67:CH101" si="194">FIND(",",K67)</f>
        <v>8</v>
      </c>
      <c r="CI67">
        <f t="shared" ref="CI67:CI101" si="195">LEN(A67)</f>
        <v>7</v>
      </c>
      <c r="CJ67" t="str">
        <f t="shared" ref="CJ67:CJ101" si="196">IFERROR(FIND("www",P67),"Not found")</f>
        <v>Not found</v>
      </c>
      <c r="CK67">
        <f t="shared" ref="CK67:CK101" si="197">LEN(F67)</f>
        <v>14</v>
      </c>
      <c r="CL67">
        <f t="shared" ref="CL67:CL101" si="198">FIND("-",L67)</f>
        <v>4</v>
      </c>
      <c r="CM67">
        <f t="shared" ref="CM67:CM101" si="199">LEN(G67)</f>
        <v>14</v>
      </c>
      <c r="CN67">
        <f t="shared" ref="CN67:CN101" si="200">FIND(".",E67)</f>
        <v>5</v>
      </c>
      <c r="CO67">
        <f t="shared" ref="CO67:CO101" si="201">LEN(TRIM(Q67))</f>
        <v>22</v>
      </c>
      <c r="CP67">
        <f t="shared" ref="CP67:CP101" si="202">FIND("-",L67,FIND("-",L67)+1)</f>
        <v>9</v>
      </c>
      <c r="CQ67">
        <f t="shared" ref="CQ67:CQ101" si="203">LEN(S67)</f>
        <v>14</v>
      </c>
      <c r="CR67">
        <f t="shared" ref="CR67:CR101" si="204">IFERROR(FIND("//",P67),"not found")</f>
        <v>7</v>
      </c>
      <c r="CS67">
        <f t="shared" ref="CS67:CS101" si="205">LEN(O67)</f>
        <v>9</v>
      </c>
      <c r="CT67">
        <f t="shared" ref="CT67:CT101" si="206">FIND("-",L67,FIND("-",L67)+1)</f>
        <v>9</v>
      </c>
      <c r="CU67">
        <f t="shared" ref="CU67:CU101" si="207">LEN(T67)</f>
        <v>19</v>
      </c>
      <c r="CV67">
        <f t="shared" ref="CV67:CV101" si="208">FIND("-",N67)</f>
        <v>3</v>
      </c>
      <c r="CW67" t="str">
        <f t="shared" ref="CW67:CW101" si="209">SUBSTITUTE(UPPER(A67),"CUST","Customer ID")</f>
        <v>Customer ID066</v>
      </c>
      <c r="CX67" t="str">
        <f t="shared" ref="CX67:CX101" si="210">SUBSTITUTE(E67,"@","[AT]")</f>
        <v>JAYA.YADAV[AT]CORPORATE.IN</v>
      </c>
      <c r="CY67" t="str">
        <f t="shared" ref="CY67:CY101" si="211">SUBSTITUTE(UPPER(L67),"PRD","Product")</f>
        <v>Product-BACK-066</v>
      </c>
      <c r="CZ67" t="str">
        <f t="shared" ref="CZ67:CZ101" si="212">SUBSTITUTE(L67,"-","_")</f>
        <v>prd_back_066</v>
      </c>
      <c r="DA67" t="str">
        <f t="shared" ref="DA67:DA101" si="213">SUBSTITUTE(UPPER(S67),"DEPT","DEPARTMENT")</f>
        <v>DEPARTMENT-PHOTO-066</v>
      </c>
      <c r="DB67" t="str">
        <f t="shared" ref="DB67:DB101" si="214">SUBSTITUTE(UPPER(E67),".COM",".in")</f>
        <v>JAYA.YADAV@CORPORATE.IN</v>
      </c>
      <c r="DC67" t="str">
        <f t="shared" ref="DC67:DC101" si="215">SUBSTITUTE(UPPER(P67),"WWW","https://www.")</f>
        <v>HTTPS://BACKDROPS.IN</v>
      </c>
      <c r="DD67" t="str">
        <f t="shared" ref="DD67:DD101" si="216">SUBSTITUTE(D67," ","/")</f>
        <v>jaya/YADAV//</v>
      </c>
      <c r="DE67" t="str">
        <f t="shared" ref="DE67:DE101" si="217">IFERROR(SUBSTITUTE(O67,"retail","RETAIL CUSTOMER"),"Not Found")</f>
        <v>Corporate</v>
      </c>
      <c r="DF67" t="str">
        <f t="shared" ref="DF67:DF101" si="218">SUBSTITUTE(K67,",",";")</f>
        <v>Bikaner; RAJASTHAN;334001</v>
      </c>
      <c r="DG67" t="str">
        <f t="shared" ref="DG67:DG101" si="219">IFERROR(SUBSTITUTE(R67,"manager","MANAGER"),"Not Found")</f>
        <v>PHOTO DIRECTOR</v>
      </c>
      <c r="DH67" t="str">
        <f t="shared" ref="DH67:DH101" si="220">SUBSTITUTE(SUBSTITUTE(F67,"("," "),")"," ")</f>
        <v>+91-9876345678</v>
      </c>
      <c r="DI67" t="str">
        <f t="shared" ref="DI67:DI101" si="221">SUBSTITUTE(Q67,"Pvt Ltd","Private Limited")</f>
        <v xml:space="preserve">  BACKDROP solutions PRO  </v>
      </c>
      <c r="DJ67" t="str">
        <f t="shared" ref="DJ67:DJ101" si="222">SUBSTITUTE(P67,"//","://")</f>
        <v>https:://backdrops.in</v>
      </c>
      <c r="DK67" t="str">
        <f t="shared" ref="DK67:DK101" si="223">SUBSTITUTE(G67," ","  ")</f>
        <v>951  Rani  Bazar</v>
      </c>
      <c r="DL67" t="str">
        <f t="shared" ref="DL67:DL101" si="224">LEFT(E67,SEARCH("@",E67)-1)</f>
        <v>JAYA.YADAV</v>
      </c>
      <c r="DM67" t="str">
        <f t="shared" ref="DM67:DM101" si="225">CONCATENATE(B67,".",C67,"@",Q67,".com")</f>
        <v>jaya.YADAV@  BACKDROP solutions PRO  .com</v>
      </c>
      <c r="DN67" t="str">
        <f t="shared" ref="DN67:DN101" si="226">LEFT(TRIM(D67),FIND(" ",TRIM(D67))-1)</f>
        <v>jaya</v>
      </c>
      <c r="DO67" t="str">
        <f t="shared" ref="DO67:DO101" si="227">MID(TRIM(D67),FIND(" ",TRIM(D67))+1,20)</f>
        <v>YADAV</v>
      </c>
      <c r="DP67" t="str">
        <f t="shared" ref="DP67:DP101" si="228">CONCATENATE(MID(TRIM(D67),FIND(" ",TRIM(D67))+1,20),",",LEFT(TRIM(D67),FIND(" ",TRIM(D67))-1))</f>
        <v>YADAV,jaya</v>
      </c>
      <c r="DQ67" t="str">
        <f t="shared" ref="DQ67:DQ101" si="229">CONCATENATE("Name has",LEN(TRIM(D67)),"characters")</f>
        <v>Name has10characters</v>
      </c>
      <c r="DR67" t="str">
        <f t="shared" ref="DR67:DR101" si="230">IF(ISNUMBER(SEARCH(".com",E67)),"Valid","Check Domain")</f>
        <v>Check Domain</v>
      </c>
      <c r="DS67" t="str">
        <f t="shared" ref="DS67:DS101" si="231">LEFT(F67,4)</f>
        <v>+91-</v>
      </c>
      <c r="DT67" t="str">
        <f t="shared" ref="DT67:DT101" si="232">CONCATENATE(LEFT(A67,3),RIGHT(A67,3))</f>
        <v>Cus066</v>
      </c>
      <c r="DU67" t="str">
        <f t="shared" ref="DU67:DU101" si="233">CONCATENATE(LEFT(B67,1),RIGHT(LOWER(C67),10))</f>
        <v>jyadav</v>
      </c>
      <c r="DV67" t="str">
        <f t="shared" ref="DV67:DV101" si="234">CONCATENATE(LEFT(L67,3),RIGHT(A67,3))</f>
        <v>prd066</v>
      </c>
      <c r="DW67" t="str">
        <f t="shared" ref="DW67:DW101" si="235">TEXT(F67,"(000)  000-0000")</f>
        <v>+91-9876345678</v>
      </c>
      <c r="DX67" t="str">
        <f t="shared" ref="DX67:DX101" si="236">TEXT(N67,"yyyy")</f>
        <v>2025</v>
      </c>
      <c r="DY67" t="str">
        <f t="shared" ref="DY67:DY101" si="237">LEFT(TRIM(D67),1)</f>
        <v>j</v>
      </c>
      <c r="DZ67" t="str">
        <f t="shared" ref="DZ67:DZ101" si="238">CONCATENATE(B67,C67,"@",Q67,".com")</f>
        <v>jayaYADAV@  BACKDROP solutions PRO  .com</v>
      </c>
      <c r="EA67" t="str">
        <f t="shared" ref="EA67:EA101" si="239">IF(OR(O67="retail",O67="wholesale"),PROPER(O67),"")</f>
        <v/>
      </c>
      <c r="EB67" t="str">
        <f t="shared" ref="EB67:EB101" si="240">MID(E67,FIND("@",E67)+1,30)</f>
        <v>CORPORATE.IN</v>
      </c>
      <c r="EC67">
        <f t="shared" ref="EC67:EC101" si="241">LEN(M67)</f>
        <v>30</v>
      </c>
      <c r="ED67" t="str">
        <f t="shared" ref="ED67:ED101" si="242">CONCATENATE(LEFT(H67,2),RIGHT(UPPER(A67),2))</f>
        <v>Bi66</v>
      </c>
      <c r="EE67" t="str">
        <f t="shared" ref="EE67:EE101" si="243">CONCATENATE(H67,"-",I67,"(",J67,")")</f>
        <v>Bikaner- RAJASTHAN(334001)</v>
      </c>
      <c r="EF67" t="str">
        <f t="shared" ref="EF67:EF101" si="244">SUBSTITUTE(SUBSTITUTE(SUBSTITUTE(SUBSTITUTE(SUBSTITUTE(F67," ",""),"-",""),"+",""),"(",""),")","")</f>
        <v>919876345678</v>
      </c>
      <c r="EG67" t="str">
        <f t="shared" ref="EG67:EG101" si="245">CONCATENATE("CUST","-",RIGHT(A67,3))</f>
        <v>CUST-066</v>
      </c>
      <c r="EH67" t="str">
        <f t="shared" ref="EH67:EH101" si="246">IF(OR(ISNUMBER(SEARCH("Pvt",Q67)),ISNUMBER(SEARCH("Ltd",Q67))),"Private","public")</f>
        <v>public</v>
      </c>
      <c r="EI67" t="str">
        <f t="shared" ref="EI67:EI101" si="247">CONCATENATE(LEFT(UPPER(L67),3),"-",RIGHT(L67,3),"-",TEXT(N67,"ddmmmyy"))</f>
        <v>PRD-066-20Apr25</v>
      </c>
      <c r="EJ67" t="str">
        <f t="shared" ref="EJ67:EJ101" si="248">PROPER(O67)</f>
        <v>Corporate</v>
      </c>
    </row>
    <row r="68" spans="1:140" x14ac:dyDescent="0.3">
      <c r="A68" t="s">
        <v>875</v>
      </c>
      <c r="B68" t="s">
        <v>1536</v>
      </c>
      <c r="C68" t="s">
        <v>1537</v>
      </c>
      <c r="D68" t="s">
        <v>876</v>
      </c>
      <c r="E68" t="s">
        <v>877</v>
      </c>
      <c r="F68" t="s">
        <v>878</v>
      </c>
      <c r="G68" t="s">
        <v>879</v>
      </c>
      <c r="H68" t="s">
        <v>1676</v>
      </c>
      <c r="I68" t="s">
        <v>1670</v>
      </c>
      <c r="J68">
        <v>332001</v>
      </c>
      <c r="K68" t="str">
        <f t="shared" si="138"/>
        <v>sikar, RAJASTHAN,332001</v>
      </c>
      <c r="L68" t="s">
        <v>880</v>
      </c>
      <c r="M68" t="s">
        <v>881</v>
      </c>
      <c r="N68" t="s">
        <v>882</v>
      </c>
      <c r="O68" t="s">
        <v>78</v>
      </c>
      <c r="P68" t="s">
        <v>883</v>
      </c>
      <c r="Q68" t="s">
        <v>884</v>
      </c>
      <c r="R68" t="s">
        <v>885</v>
      </c>
      <c r="S68" t="s">
        <v>886</v>
      </c>
      <c r="T68" t="s">
        <v>887</v>
      </c>
      <c r="U68" t="str">
        <f t="shared" si="129"/>
        <v>PRAKASH JAIN</v>
      </c>
      <c r="V68" t="str">
        <f t="shared" si="130"/>
        <v>prakash.jain@mail.in</v>
      </c>
      <c r="W68" t="str">
        <f t="shared" si="139"/>
        <v>Sikar</v>
      </c>
      <c r="X68" t="str">
        <f t="shared" si="131"/>
        <v>prakash jain</v>
      </c>
      <c r="Y68" t="str">
        <f t="shared" si="140"/>
        <v>RETAIL</v>
      </c>
      <c r="Z68" t="str">
        <f t="shared" si="141"/>
        <v>reflector world</v>
      </c>
      <c r="AA68" t="str">
        <f t="shared" si="142"/>
        <v>Photography Trainer</v>
      </c>
      <c r="AB68" t="str">
        <f t="shared" si="132"/>
        <v>147 Station Road</v>
      </c>
      <c r="AC68" t="str">
        <f t="shared" si="143"/>
        <v>DEPT-TRAIN-067</v>
      </c>
      <c r="AD68" t="str">
        <f t="shared" si="144"/>
        <v>Godox Reflector 5-In-1</v>
      </c>
      <c r="AE68" t="str">
        <f t="shared" si="145"/>
        <v>www.reflectors.com</v>
      </c>
      <c r="AF68" t="str">
        <f t="shared" si="146"/>
        <v>Size: 110cm diameter</v>
      </c>
      <c r="AG68" t="str">
        <f t="shared" si="133"/>
        <v>CUST067</v>
      </c>
      <c r="AH68" t="str">
        <f t="shared" si="147"/>
        <v>PRD-REF-067</v>
      </c>
      <c r="AI68" t="str">
        <f t="shared" si="134"/>
        <v>Prakash Jain</v>
      </c>
      <c r="AJ68" t="str">
        <f t="shared" si="135"/>
        <v>(01572) 98765-4321</v>
      </c>
      <c r="AK68" t="str">
        <f t="shared" si="148"/>
        <v>retail</v>
      </c>
      <c r="AL68" t="str">
        <f t="shared" si="149"/>
        <v>Reflector World</v>
      </c>
      <c r="AM68" t="str">
        <f t="shared" si="136"/>
        <v>prakash.jain@mail.in</v>
      </c>
      <c r="AN68" t="str">
        <f t="shared" si="150"/>
        <v>PHOTOGRAPHY TRAINER</v>
      </c>
      <c r="AO68" t="str">
        <f t="shared" si="137"/>
        <v>CUST067-prakash jain</v>
      </c>
      <c r="AP68" t="str">
        <f t="shared" si="151"/>
        <v>prakash jain</v>
      </c>
      <c r="AQ68" t="str">
        <f t="shared" si="152"/>
        <v>sikar, RAJASTHAN</v>
      </c>
      <c r="AR68" t="str">
        <f t="shared" si="153"/>
        <v>prd-ref-067:GODOX reflector 5-IN-1</v>
      </c>
      <c r="AS68" t="str">
        <f t="shared" si="154"/>
        <v>prakash.jain@mail.in|(01572) 98765-4321</v>
      </c>
      <c r="AT68" t="str">
        <f t="shared" si="155"/>
        <v>reflector WORLD-Photography Trainer</v>
      </c>
      <c r="AU68" t="str">
        <f t="shared" si="156"/>
        <v>retail 27-Apr-2025</v>
      </c>
      <c r="AV68" t="str">
        <f t="shared" si="157"/>
        <v>147 Station Road,sikar, RAJASTHAN,332001</v>
      </c>
      <c r="AW68" t="str">
        <f t="shared" si="158"/>
        <v>dept-train-067_Photography Trainer</v>
      </c>
      <c r="AX68" t="str">
        <f t="shared" si="159"/>
        <v>Customer ID:CUST067</v>
      </c>
      <c r="AY68" t="str">
        <f t="shared" si="160"/>
        <v>Email:prakash.jain@mail.in</v>
      </c>
      <c r="AZ68" t="str">
        <f t="shared" si="161"/>
        <v>WWW.REFLECTORS.COM/contact</v>
      </c>
      <c r="BA68" t="str">
        <f t="shared" si="162"/>
        <v>Order Placed On 27-Apr-2025</v>
      </c>
      <c r="BB68" t="str">
        <f t="shared" si="163"/>
        <v>prakash jain(retail)</v>
      </c>
      <c r="BC68" t="str">
        <f t="shared" si="164"/>
        <v>prd-ref-067/GODOX reflector 5-IN-1</v>
      </c>
      <c r="BD68" t="str">
        <f t="shared" si="165"/>
        <v>call (01572) 98765-4321</v>
      </c>
      <c r="BE68" t="str">
        <f t="shared" si="166"/>
        <v>reflector WORLD-dept-train-067</v>
      </c>
      <c r="BF68" t="str">
        <f t="shared" si="167"/>
        <v>CUST067-67</v>
      </c>
      <c r="BG68" t="str">
        <f t="shared" si="168"/>
        <v>Customer: prakash jain,Type: retail</v>
      </c>
      <c r="BH68" t="str">
        <f t="shared" si="169"/>
        <v>sikar,india</v>
      </c>
      <c r="BI68" t="str">
        <f t="shared" si="170"/>
        <v>CUST</v>
      </c>
      <c r="BJ68" t="str">
        <f t="shared" si="171"/>
        <v>prakash.ja</v>
      </c>
      <c r="BK68" t="str">
        <f t="shared" si="172"/>
        <v xml:space="preserve">prakash </v>
      </c>
      <c r="BL68" t="str">
        <f t="shared" si="173"/>
        <v>prd-r</v>
      </c>
      <c r="BM68" t="str">
        <f t="shared" si="174"/>
        <v>ret</v>
      </c>
      <c r="BN68" t="str">
        <f t="shared" si="175"/>
        <v xml:space="preserve">(01572) </v>
      </c>
      <c r="BO68" t="str">
        <f t="shared" si="176"/>
        <v>mail.in</v>
      </c>
      <c r="BP68" t="str">
        <f t="shared" si="177"/>
        <v>sikar</v>
      </c>
      <c r="BQ68" t="str">
        <f t="shared" si="178"/>
        <v>T067</v>
      </c>
      <c r="BR68" t="str">
        <f t="shared" si="179"/>
        <v>sh jain</v>
      </c>
      <c r="BS68" t="str">
        <f t="shared" si="180"/>
        <v>ef-067</v>
      </c>
      <c r="BU68" t="str">
        <f t="shared" si="181"/>
        <v>-4321</v>
      </c>
      <c r="BV68" t="str">
        <f t="shared" si="182"/>
        <v>332001</v>
      </c>
      <c r="BW68" t="str">
        <f t="shared" si="183"/>
        <v xml:space="preserve"> RAJASTHAN</v>
      </c>
      <c r="BX68" t="str">
        <f t="shared" si="184"/>
        <v>067</v>
      </c>
      <c r="BY68" t="str">
        <f t="shared" si="185"/>
        <v>train</v>
      </c>
      <c r="BZ68" t="str">
        <f t="shared" si="186"/>
        <v>ref</v>
      </c>
      <c r="CA68" t="str">
        <f t="shared" si="187"/>
        <v>Apr</v>
      </c>
      <c r="CB68" t="str">
        <f t="shared" si="188"/>
        <v>flect</v>
      </c>
      <c r="CC68">
        <f t="shared" si="189"/>
        <v>13</v>
      </c>
      <c r="CD68">
        <f t="shared" si="190"/>
        <v>12</v>
      </c>
      <c r="CE68">
        <f t="shared" si="191"/>
        <v>20</v>
      </c>
      <c r="CF68">
        <f t="shared" si="192"/>
        <v>8</v>
      </c>
      <c r="CG68">
        <f t="shared" si="193"/>
        <v>22</v>
      </c>
      <c r="CH68">
        <f t="shared" si="194"/>
        <v>6</v>
      </c>
      <c r="CI68">
        <f t="shared" si="195"/>
        <v>7</v>
      </c>
      <c r="CJ68" t="str">
        <f t="shared" si="196"/>
        <v>Not found</v>
      </c>
      <c r="CK68">
        <f t="shared" si="197"/>
        <v>18</v>
      </c>
      <c r="CL68">
        <f t="shared" si="198"/>
        <v>4</v>
      </c>
      <c r="CM68">
        <f t="shared" si="199"/>
        <v>16</v>
      </c>
      <c r="CN68">
        <f t="shared" si="200"/>
        <v>8</v>
      </c>
      <c r="CO68">
        <f t="shared" si="201"/>
        <v>15</v>
      </c>
      <c r="CP68">
        <f t="shared" si="202"/>
        <v>8</v>
      </c>
      <c r="CQ68">
        <f t="shared" si="203"/>
        <v>14</v>
      </c>
      <c r="CR68" t="str">
        <f t="shared" si="204"/>
        <v>not found</v>
      </c>
      <c r="CS68">
        <f t="shared" si="205"/>
        <v>6</v>
      </c>
      <c r="CT68">
        <f t="shared" si="206"/>
        <v>8</v>
      </c>
      <c r="CU68">
        <f t="shared" si="207"/>
        <v>24</v>
      </c>
      <c r="CV68">
        <f t="shared" si="208"/>
        <v>3</v>
      </c>
      <c r="CW68" t="str">
        <f t="shared" si="209"/>
        <v>Customer ID067</v>
      </c>
      <c r="CX68" t="str">
        <f t="shared" si="210"/>
        <v>prakash.jain[AT]mail.in</v>
      </c>
      <c r="CY68" t="str">
        <f t="shared" si="211"/>
        <v>Product-REF-067</v>
      </c>
      <c r="CZ68" t="str">
        <f t="shared" si="212"/>
        <v>prd_ref_067</v>
      </c>
      <c r="DA68" t="str">
        <f t="shared" si="213"/>
        <v>DEPARTMENT-TRAIN-067</v>
      </c>
      <c r="DB68" t="str">
        <f t="shared" si="214"/>
        <v>PRAKASH.JAIN@MAIL.IN</v>
      </c>
      <c r="DC68" t="str">
        <f t="shared" si="215"/>
        <v>https://www..REFLECTORS.COM</v>
      </c>
      <c r="DD68" t="str">
        <f t="shared" si="216"/>
        <v>prakash/jain</v>
      </c>
      <c r="DE68" t="str">
        <f t="shared" si="217"/>
        <v>RETAIL CUSTOMER</v>
      </c>
      <c r="DF68" t="str">
        <f t="shared" si="218"/>
        <v>sikar; RAJASTHAN;332001</v>
      </c>
      <c r="DG68" t="str">
        <f t="shared" si="219"/>
        <v>Photography Trainer</v>
      </c>
      <c r="DH68" t="str">
        <f t="shared" si="220"/>
        <v xml:space="preserve"> 01572  98765-4321</v>
      </c>
      <c r="DI68" t="str">
        <f t="shared" si="221"/>
        <v>reflector WORLD</v>
      </c>
      <c r="DJ68" t="str">
        <f t="shared" si="222"/>
        <v>WWW.REFLECTORS.COM</v>
      </c>
      <c r="DK68" t="str">
        <f t="shared" si="223"/>
        <v>147  Station  Road</v>
      </c>
      <c r="DL68" t="str">
        <f t="shared" si="224"/>
        <v>prakash.jain</v>
      </c>
      <c r="DM68" t="str">
        <f t="shared" si="225"/>
        <v>prakash.jain@reflector WORLD.com</v>
      </c>
      <c r="DN68" t="str">
        <f t="shared" si="226"/>
        <v>prakash</v>
      </c>
      <c r="DO68" t="str">
        <f t="shared" si="227"/>
        <v>jain</v>
      </c>
      <c r="DP68" t="str">
        <f t="shared" si="228"/>
        <v>jain,prakash</v>
      </c>
      <c r="DQ68" t="str">
        <f t="shared" si="229"/>
        <v>Name has12characters</v>
      </c>
      <c r="DR68" t="str">
        <f t="shared" si="230"/>
        <v>Check Domain</v>
      </c>
      <c r="DS68" t="str">
        <f t="shared" si="231"/>
        <v>(015</v>
      </c>
      <c r="DT68" t="str">
        <f t="shared" si="232"/>
        <v>CUS067</v>
      </c>
      <c r="DU68" t="str">
        <f t="shared" si="233"/>
        <v>pjain</v>
      </c>
      <c r="DV68" t="str">
        <f t="shared" si="234"/>
        <v>prd067</v>
      </c>
      <c r="DW68" t="str">
        <f t="shared" si="235"/>
        <v>(01572) 98765-4321</v>
      </c>
      <c r="DX68" t="str">
        <f t="shared" si="236"/>
        <v>2025</v>
      </c>
      <c r="DY68" t="str">
        <f t="shared" si="237"/>
        <v>p</v>
      </c>
      <c r="DZ68" t="str">
        <f t="shared" si="238"/>
        <v>prakashjain@reflector WORLD.com</v>
      </c>
      <c r="EA68" t="str">
        <f t="shared" si="239"/>
        <v>Retail</v>
      </c>
      <c r="EB68" t="str">
        <f t="shared" si="240"/>
        <v>mail.in</v>
      </c>
      <c r="EC68">
        <f t="shared" si="241"/>
        <v>22</v>
      </c>
      <c r="ED68" t="str">
        <f t="shared" si="242"/>
        <v>si67</v>
      </c>
      <c r="EE68" t="str">
        <f t="shared" si="243"/>
        <v>sikar- RAJASTHAN(332001)</v>
      </c>
      <c r="EF68" t="str">
        <f t="shared" si="244"/>
        <v>01572987654321</v>
      </c>
      <c r="EG68" t="str">
        <f t="shared" si="245"/>
        <v>CUST-067</v>
      </c>
      <c r="EH68" t="str">
        <f t="shared" si="246"/>
        <v>public</v>
      </c>
      <c r="EI68" t="str">
        <f t="shared" si="247"/>
        <v>PRD-067-27Apr25</v>
      </c>
      <c r="EJ68" t="str">
        <f t="shared" si="248"/>
        <v>Retail</v>
      </c>
    </row>
    <row r="69" spans="1:140" x14ac:dyDescent="0.3">
      <c r="A69" t="s">
        <v>888</v>
      </c>
      <c r="B69" t="s">
        <v>1538</v>
      </c>
      <c r="C69" t="s">
        <v>1473</v>
      </c>
      <c r="D69" t="s">
        <v>889</v>
      </c>
      <c r="E69" t="s">
        <v>890</v>
      </c>
      <c r="F69" t="s">
        <v>891</v>
      </c>
      <c r="G69" t="s">
        <v>892</v>
      </c>
      <c r="H69" t="s">
        <v>1677</v>
      </c>
      <c r="I69" t="s">
        <v>1601</v>
      </c>
      <c r="J69">
        <v>321001</v>
      </c>
      <c r="K69" t="str">
        <f t="shared" si="138"/>
        <v>BHARATPUR, Rajasthan,321001</v>
      </c>
      <c r="L69" t="s">
        <v>893</v>
      </c>
      <c r="M69" t="s">
        <v>894</v>
      </c>
      <c r="N69" t="s">
        <v>895</v>
      </c>
      <c r="O69" t="s">
        <v>36</v>
      </c>
      <c r="P69" t="s">
        <v>896</v>
      </c>
      <c r="Q69" t="s">
        <v>897</v>
      </c>
      <c r="R69" t="s">
        <v>898</v>
      </c>
      <c r="S69" t="s">
        <v>899</v>
      </c>
      <c r="T69" t="s">
        <v>900</v>
      </c>
      <c r="U69" t="str">
        <f t="shared" si="129"/>
        <v xml:space="preserve">  LEELA KHANNA</v>
      </c>
      <c r="V69" t="str">
        <f t="shared" si="130"/>
        <v>leela_khanna@email.in</v>
      </c>
      <c r="W69" t="str">
        <f t="shared" si="139"/>
        <v>Bharatpur</v>
      </c>
      <c r="X69" t="str">
        <f t="shared" si="131"/>
        <v>LEELA khanna</v>
      </c>
      <c r="Y69" t="str">
        <f t="shared" si="140"/>
        <v>WHOLESALE</v>
      </c>
      <c r="Z69" t="str">
        <f t="shared" si="141"/>
        <v>cleaning supplies india</v>
      </c>
      <c r="AA69" t="str">
        <f t="shared" si="142"/>
        <v>Maintenance Head</v>
      </c>
      <c r="AB69" t="str">
        <f t="shared" si="132"/>
        <v>258 Sewar Gate</v>
      </c>
      <c r="AC69" t="str">
        <f t="shared" si="143"/>
        <v>DEPT-MAINT-068</v>
      </c>
      <c r="AD69" t="str">
        <f t="shared" si="144"/>
        <v>Zeiss Lens Cleaning Kit</v>
      </c>
      <c r="AE69" t="str">
        <f t="shared" si="145"/>
        <v>www.cleaning.in</v>
      </c>
      <c r="AF69" t="str">
        <f t="shared" si="146"/>
        <v>Microfiber cloth included?</v>
      </c>
      <c r="AG69" t="str">
        <f t="shared" si="133"/>
        <v>CUST068</v>
      </c>
      <c r="AH69" t="str">
        <f t="shared" si="147"/>
        <v>PRD-CLEAN-068</v>
      </c>
      <c r="AI69" t="str">
        <f t="shared" si="134"/>
        <v xml:space="preserve">  Leela Khanna</v>
      </c>
      <c r="AJ69" t="str">
        <f t="shared" si="135"/>
        <v>05644-23456</v>
      </c>
      <c r="AK69" t="str">
        <f t="shared" si="148"/>
        <v>wholesale</v>
      </c>
      <c r="AL69" t="str">
        <f t="shared" si="149"/>
        <v>Cleaning Supplies India</v>
      </c>
      <c r="AM69" t="str">
        <f t="shared" si="136"/>
        <v>leela_khanna@email.in</v>
      </c>
      <c r="AN69" t="str">
        <f t="shared" si="150"/>
        <v>MAINTENANCE HEAD</v>
      </c>
      <c r="AO69" t="str">
        <f t="shared" si="137"/>
        <v>cust068-  LEELA khanna</v>
      </c>
      <c r="AP69" t="str">
        <f t="shared" si="151"/>
        <v>LEELA khanna</v>
      </c>
      <c r="AQ69" t="str">
        <f t="shared" si="152"/>
        <v>BHARATPUR, Rajasthan</v>
      </c>
      <c r="AR69" t="str">
        <f t="shared" si="153"/>
        <v>PRD-CLEAN-068:ZEISS lens CLEANING kit</v>
      </c>
      <c r="AS69" t="str">
        <f t="shared" si="154"/>
        <v>leela_khanna@email.in|05644-23456</v>
      </c>
      <c r="AT69" t="str">
        <f t="shared" si="155"/>
        <v>CLEANING supplies INDIA-Maintenance Head</v>
      </c>
      <c r="AU69" t="str">
        <f t="shared" si="156"/>
        <v>wholesale 04-May-2025</v>
      </c>
      <c r="AV69" t="str">
        <f t="shared" si="157"/>
        <v xml:space="preserve">  258 Sewar Gate  ,BHARATPUR, Rajasthan,321001</v>
      </c>
      <c r="AW69" t="str">
        <f t="shared" si="158"/>
        <v>DEPT-MAINT-068_Maintenance Head</v>
      </c>
      <c r="AX69" t="str">
        <f t="shared" si="159"/>
        <v>Customer ID:cust068</v>
      </c>
      <c r="AY69" t="str">
        <f t="shared" si="160"/>
        <v>Email:leela_khanna@email.in</v>
      </c>
      <c r="AZ69" t="str">
        <f t="shared" si="161"/>
        <v>www.cleaning.in/contact</v>
      </c>
      <c r="BA69" t="str">
        <f t="shared" si="162"/>
        <v>Order Placed On 04-May-2025</v>
      </c>
      <c r="BB69" t="str">
        <f t="shared" si="163"/>
        <v xml:space="preserve">  LEELA khanna(wholesale)</v>
      </c>
      <c r="BC69" t="str">
        <f t="shared" si="164"/>
        <v>PRD-CLEAN-068/ZEISS lens CLEANING kit</v>
      </c>
      <c r="BD69" t="str">
        <f t="shared" si="165"/>
        <v>call 05644-23456</v>
      </c>
      <c r="BE69" t="str">
        <f t="shared" si="166"/>
        <v>CLEANING supplies INDIA-DEPT-MAINT-068</v>
      </c>
      <c r="BF69" t="str">
        <f t="shared" si="167"/>
        <v>cust068-68</v>
      </c>
      <c r="BG69" t="str">
        <f t="shared" si="168"/>
        <v>Customer:   LEELA khanna,Type: wholesale</v>
      </c>
      <c r="BH69" t="str">
        <f t="shared" si="169"/>
        <v>BHARATPUR,india</v>
      </c>
      <c r="BI69" t="str">
        <f t="shared" si="170"/>
        <v>cust</v>
      </c>
      <c r="BJ69" t="str">
        <f t="shared" si="171"/>
        <v>leela_khan</v>
      </c>
      <c r="BK69" t="str">
        <f t="shared" si="172"/>
        <v xml:space="preserve">LEELA </v>
      </c>
      <c r="BL69" t="str">
        <f t="shared" si="173"/>
        <v>PRD-C</v>
      </c>
      <c r="BM69" t="str">
        <f t="shared" si="174"/>
        <v>who</v>
      </c>
      <c r="BN69" t="str">
        <f t="shared" si="175"/>
        <v>05644-23</v>
      </c>
      <c r="BO69" t="str">
        <f t="shared" si="176"/>
        <v>email.in</v>
      </c>
      <c r="BP69" t="str">
        <f t="shared" si="177"/>
        <v>BHARATPUR</v>
      </c>
      <c r="BQ69" t="str">
        <f t="shared" si="178"/>
        <v>t068</v>
      </c>
      <c r="BR69" t="str">
        <f t="shared" si="179"/>
        <v>hanna</v>
      </c>
      <c r="BS69" t="str">
        <f t="shared" si="180"/>
        <v>AN-068</v>
      </c>
      <c r="BU69" t="str">
        <f t="shared" si="181"/>
        <v>23456</v>
      </c>
      <c r="BV69" t="str">
        <f t="shared" si="182"/>
        <v>321001</v>
      </c>
      <c r="BW69" t="str">
        <f t="shared" si="183"/>
        <v xml:space="preserve"> Rajasthan</v>
      </c>
      <c r="BX69" t="str">
        <f t="shared" si="184"/>
        <v>068</v>
      </c>
      <c r="BY69" t="str">
        <f t="shared" si="185"/>
        <v>MAINT</v>
      </c>
      <c r="BZ69" t="str">
        <f t="shared" si="186"/>
        <v>CLEAN</v>
      </c>
      <c r="CA69" t="str">
        <f t="shared" si="187"/>
        <v>May</v>
      </c>
      <c r="CB69" t="str">
        <f t="shared" si="188"/>
        <v>EANIN</v>
      </c>
      <c r="CC69">
        <f t="shared" si="189"/>
        <v>13</v>
      </c>
      <c r="CD69">
        <f t="shared" si="190"/>
        <v>14</v>
      </c>
      <c r="CE69">
        <f t="shared" si="191"/>
        <v>21</v>
      </c>
      <c r="CF69">
        <f t="shared" si="192"/>
        <v>1</v>
      </c>
      <c r="CG69">
        <f t="shared" si="193"/>
        <v>23</v>
      </c>
      <c r="CH69">
        <f t="shared" si="194"/>
        <v>10</v>
      </c>
      <c r="CI69">
        <f t="shared" si="195"/>
        <v>7</v>
      </c>
      <c r="CJ69">
        <f t="shared" si="196"/>
        <v>1</v>
      </c>
      <c r="CK69">
        <f t="shared" si="197"/>
        <v>11</v>
      </c>
      <c r="CL69">
        <f t="shared" si="198"/>
        <v>4</v>
      </c>
      <c r="CM69">
        <f t="shared" si="199"/>
        <v>18</v>
      </c>
      <c r="CN69">
        <f t="shared" si="200"/>
        <v>19</v>
      </c>
      <c r="CO69">
        <f t="shared" si="201"/>
        <v>23</v>
      </c>
      <c r="CP69">
        <f t="shared" si="202"/>
        <v>10</v>
      </c>
      <c r="CQ69">
        <f t="shared" si="203"/>
        <v>14</v>
      </c>
      <c r="CR69" t="str">
        <f t="shared" si="204"/>
        <v>not found</v>
      </c>
      <c r="CS69">
        <f t="shared" si="205"/>
        <v>9</v>
      </c>
      <c r="CT69">
        <f t="shared" si="206"/>
        <v>10</v>
      </c>
      <c r="CU69">
        <f t="shared" si="207"/>
        <v>26</v>
      </c>
      <c r="CV69">
        <f t="shared" si="208"/>
        <v>3</v>
      </c>
      <c r="CW69" t="str">
        <f t="shared" si="209"/>
        <v>Customer ID068</v>
      </c>
      <c r="CX69" t="str">
        <f t="shared" si="210"/>
        <v>leela_khanna[AT]email.in</v>
      </c>
      <c r="CY69" t="str">
        <f t="shared" si="211"/>
        <v>Product-CLEAN-068</v>
      </c>
      <c r="CZ69" t="str">
        <f t="shared" si="212"/>
        <v>PRD_CLEAN_068</v>
      </c>
      <c r="DA69" t="str">
        <f t="shared" si="213"/>
        <v>DEPARTMENT-MAINT-068</v>
      </c>
      <c r="DB69" t="str">
        <f t="shared" si="214"/>
        <v>LEELA_KHANNA@EMAIL.IN</v>
      </c>
      <c r="DC69" t="str">
        <f t="shared" si="215"/>
        <v>https://www..CLEANING.IN</v>
      </c>
      <c r="DD69" t="str">
        <f t="shared" si="216"/>
        <v>//LEELA/khanna</v>
      </c>
      <c r="DE69" t="str">
        <f t="shared" si="217"/>
        <v>wholesale</v>
      </c>
      <c r="DF69" t="str">
        <f t="shared" si="218"/>
        <v>BHARATPUR; Rajasthan;321001</v>
      </c>
      <c r="DG69" t="str">
        <f t="shared" si="219"/>
        <v>Maintenance Head</v>
      </c>
      <c r="DH69" t="str">
        <f t="shared" si="220"/>
        <v>05644-23456</v>
      </c>
      <c r="DI69" t="str">
        <f t="shared" si="221"/>
        <v>CLEANING supplies INDIA</v>
      </c>
      <c r="DJ69" t="str">
        <f t="shared" si="222"/>
        <v>www.cleaning.in</v>
      </c>
      <c r="DK69" t="str">
        <f t="shared" si="223"/>
        <v xml:space="preserve">    258  Sewar  Gate    </v>
      </c>
      <c r="DL69" t="str">
        <f t="shared" si="224"/>
        <v>leela_khanna</v>
      </c>
      <c r="DM69" t="str">
        <f t="shared" si="225"/>
        <v>LEELA.khanna@CLEANING supplies INDIA.com</v>
      </c>
      <c r="DN69" t="str">
        <f t="shared" si="226"/>
        <v>LEELA</v>
      </c>
      <c r="DO69" t="str">
        <f t="shared" si="227"/>
        <v>khanna</v>
      </c>
      <c r="DP69" t="str">
        <f t="shared" si="228"/>
        <v>khanna,LEELA</v>
      </c>
      <c r="DQ69" t="str">
        <f t="shared" si="229"/>
        <v>Name has12characters</v>
      </c>
      <c r="DR69" t="str">
        <f t="shared" si="230"/>
        <v>Check Domain</v>
      </c>
      <c r="DS69" t="str">
        <f t="shared" si="231"/>
        <v>0564</v>
      </c>
      <c r="DT69" t="str">
        <f t="shared" si="232"/>
        <v>cus068</v>
      </c>
      <c r="DU69" t="str">
        <f t="shared" si="233"/>
        <v>Lkhanna</v>
      </c>
      <c r="DV69" t="str">
        <f t="shared" si="234"/>
        <v>PRD068</v>
      </c>
      <c r="DW69" t="str">
        <f t="shared" si="235"/>
        <v>05644-23456</v>
      </c>
      <c r="DX69" t="str">
        <f t="shared" si="236"/>
        <v>2025</v>
      </c>
      <c r="DY69" t="str">
        <f t="shared" si="237"/>
        <v>L</v>
      </c>
      <c r="DZ69" t="str">
        <f t="shared" si="238"/>
        <v>LEELAkhanna@CLEANING supplies INDIA.com</v>
      </c>
      <c r="EA69" t="str">
        <f t="shared" si="239"/>
        <v>Wholesale</v>
      </c>
      <c r="EB69" t="str">
        <f t="shared" si="240"/>
        <v>email.in</v>
      </c>
      <c r="EC69">
        <f t="shared" si="241"/>
        <v>23</v>
      </c>
      <c r="ED69" t="str">
        <f t="shared" si="242"/>
        <v>BH68</v>
      </c>
      <c r="EE69" t="str">
        <f t="shared" si="243"/>
        <v>BHARATPUR- Rajasthan(321001)</v>
      </c>
      <c r="EF69" t="str">
        <f t="shared" si="244"/>
        <v>0564423456</v>
      </c>
      <c r="EG69" t="str">
        <f t="shared" si="245"/>
        <v>CUST-068</v>
      </c>
      <c r="EH69" t="str">
        <f t="shared" si="246"/>
        <v>public</v>
      </c>
      <c r="EI69" t="str">
        <f t="shared" si="247"/>
        <v>PRD-068-04May25</v>
      </c>
      <c r="EJ69" t="str">
        <f t="shared" si="248"/>
        <v>Wholesale</v>
      </c>
    </row>
    <row r="70" spans="1:140" x14ac:dyDescent="0.3">
      <c r="A70" t="s">
        <v>901</v>
      </c>
      <c r="B70" t="s">
        <v>1539</v>
      </c>
      <c r="C70" t="s">
        <v>1420</v>
      </c>
      <c r="D70" t="s">
        <v>902</v>
      </c>
      <c r="E70" t="s">
        <v>903</v>
      </c>
      <c r="F70" t="s">
        <v>904</v>
      </c>
      <c r="G70" t="s">
        <v>905</v>
      </c>
      <c r="H70" t="s">
        <v>1678</v>
      </c>
      <c r="I70" t="s">
        <v>1670</v>
      </c>
      <c r="J70">
        <v>301001</v>
      </c>
      <c r="K70" t="str">
        <f t="shared" si="138"/>
        <v>Alwar, RAJASTHAN,301001</v>
      </c>
      <c r="L70" t="s">
        <v>906</v>
      </c>
      <c r="M70" t="s">
        <v>907</v>
      </c>
      <c r="N70" t="s">
        <v>908</v>
      </c>
      <c r="O70" t="s">
        <v>132</v>
      </c>
      <c r="P70" t="s">
        <v>909</v>
      </c>
      <c r="Q70" t="s">
        <v>910</v>
      </c>
      <c r="R70" t="s">
        <v>911</v>
      </c>
      <c r="S70" t="s">
        <v>912</v>
      </c>
      <c r="T70" t="s">
        <v>913</v>
      </c>
      <c r="U70" t="str">
        <f t="shared" si="129"/>
        <v xml:space="preserve">YOGESH KUMAR  </v>
      </c>
      <c r="V70" t="str">
        <f t="shared" si="130"/>
        <v>yogesh.kumar@company.in</v>
      </c>
      <c r="W70" t="str">
        <f t="shared" si="139"/>
        <v>Alwar</v>
      </c>
      <c r="X70" t="str">
        <f t="shared" si="131"/>
        <v>yogesh KUMAR</v>
      </c>
      <c r="Y70" t="str">
        <f t="shared" si="140"/>
        <v>CORPORATE</v>
      </c>
      <c r="Z70" t="str">
        <f t="shared" si="141"/>
        <v xml:space="preserve">  strap solutions pro  </v>
      </c>
      <c r="AA70" t="str">
        <f t="shared" si="142"/>
        <v>Equipment Manager</v>
      </c>
      <c r="AB70" t="str">
        <f t="shared" si="132"/>
        <v>369 Hope Circus</v>
      </c>
      <c r="AC70" t="str">
        <f t="shared" si="143"/>
        <v>DEPT-EQUIP-069</v>
      </c>
      <c r="AD70" t="str">
        <f t="shared" si="144"/>
        <v>Peak Design Camera Strap</v>
      </c>
      <c r="AE70" t="str">
        <f t="shared" si="145"/>
        <v>https://straps.in</v>
      </c>
      <c r="AF70" t="str">
        <f t="shared" si="146"/>
        <v>Quick-release system needed</v>
      </c>
      <c r="AG70" t="str">
        <f t="shared" si="133"/>
        <v>CUST069</v>
      </c>
      <c r="AH70" t="str">
        <f t="shared" si="147"/>
        <v>PRD-STRAP-069</v>
      </c>
      <c r="AI70" t="str">
        <f t="shared" si="134"/>
        <v xml:space="preserve">Yogesh Kumar  </v>
      </c>
      <c r="AJ70" t="str">
        <f t="shared" si="135"/>
        <v>+91-9123567890</v>
      </c>
      <c r="AK70" t="str">
        <f t="shared" si="148"/>
        <v>corporate</v>
      </c>
      <c r="AL70" t="str">
        <f t="shared" si="149"/>
        <v>Strap Solutions Pro</v>
      </c>
      <c r="AM70" t="str">
        <f t="shared" si="136"/>
        <v>yogesh.kumar@company.in</v>
      </c>
      <c r="AN70" t="str">
        <f t="shared" si="150"/>
        <v>EQUIPMENT MANAGER</v>
      </c>
      <c r="AO70" t="str">
        <f t="shared" si="137"/>
        <v xml:space="preserve">Cust069-yogesh KUMAR  </v>
      </c>
      <c r="AP70" t="str">
        <f t="shared" si="151"/>
        <v>yogesh KUMAR</v>
      </c>
      <c r="AQ70" t="str">
        <f t="shared" si="152"/>
        <v>Alwar, RAJASTHAN</v>
      </c>
      <c r="AR70" t="str">
        <f t="shared" si="153"/>
        <v>prd-strap-069:PEAK DESIGN camera STRAP</v>
      </c>
      <c r="AS70" t="str">
        <f t="shared" si="154"/>
        <v>YOGESH.KUMAR@COMPANY.IN|+91-9123567890</v>
      </c>
      <c r="AT70" t="str">
        <f t="shared" si="155"/>
        <v xml:space="preserve">  STRAP solutions PRO  -EQUIPMENT MANAGER</v>
      </c>
      <c r="AU70" t="str">
        <f t="shared" si="156"/>
        <v>Corporate 11-May-2025</v>
      </c>
      <c r="AV70" t="str">
        <f t="shared" si="157"/>
        <v>369 Hope Circus,Alwar, RAJASTHAN,301001</v>
      </c>
      <c r="AW70" t="str">
        <f t="shared" si="158"/>
        <v>dept-equip-069_EQUIPMENT MANAGER</v>
      </c>
      <c r="AX70" t="str">
        <f t="shared" si="159"/>
        <v>Customer ID:Cust069</v>
      </c>
      <c r="AY70" t="str">
        <f t="shared" si="160"/>
        <v>Email:YOGESH.KUMAR@COMPANY.IN</v>
      </c>
      <c r="AZ70" t="str">
        <f t="shared" si="161"/>
        <v>https://straps.in/contact</v>
      </c>
      <c r="BA70" t="str">
        <f t="shared" si="162"/>
        <v>Order Placed On 11-May-2025</v>
      </c>
      <c r="BB70" t="str">
        <f t="shared" si="163"/>
        <v>yogesh KUMAR  (Corporate)</v>
      </c>
      <c r="BC70" t="str">
        <f t="shared" si="164"/>
        <v>prd-strap-069/PEAK DESIGN camera STRAP</v>
      </c>
      <c r="BD70" t="str">
        <f t="shared" si="165"/>
        <v>call +91-9123567890</v>
      </c>
      <c r="BE70" t="str">
        <f t="shared" si="166"/>
        <v xml:space="preserve">  STRAP solutions PRO  -dept-equip-069</v>
      </c>
      <c r="BF70" t="str">
        <f t="shared" si="167"/>
        <v>Cust069-69</v>
      </c>
      <c r="BG70" t="str">
        <f t="shared" si="168"/>
        <v>Customer: yogesh KUMAR  ,Type: Corporate</v>
      </c>
      <c r="BH70" t="str">
        <f t="shared" si="169"/>
        <v>Alwar,india</v>
      </c>
      <c r="BI70" t="str">
        <f t="shared" si="170"/>
        <v>Cust</v>
      </c>
      <c r="BJ70" t="str">
        <f t="shared" si="171"/>
        <v>YOGESH.KUM</v>
      </c>
      <c r="BK70" t="str">
        <f t="shared" si="172"/>
        <v xml:space="preserve">yogesh </v>
      </c>
      <c r="BL70" t="str">
        <f t="shared" si="173"/>
        <v>prd-s</v>
      </c>
      <c r="BM70" t="str">
        <f t="shared" si="174"/>
        <v>Cor</v>
      </c>
      <c r="BN70" t="str">
        <f t="shared" si="175"/>
        <v>+91-9123</v>
      </c>
      <c r="BO70" t="str">
        <f t="shared" si="176"/>
        <v>COMPANY.IN</v>
      </c>
      <c r="BP70" t="str">
        <f t="shared" si="177"/>
        <v>Alwar</v>
      </c>
      <c r="BQ70" t="str">
        <f t="shared" si="178"/>
        <v>t069</v>
      </c>
      <c r="BR70" t="str">
        <f t="shared" si="179"/>
        <v xml:space="preserve"> KUMAR</v>
      </c>
      <c r="BS70" t="str">
        <f t="shared" si="180"/>
        <v>ap-069</v>
      </c>
      <c r="BU70" t="str">
        <f t="shared" si="181"/>
        <v>67890</v>
      </c>
      <c r="BV70" t="str">
        <f t="shared" si="182"/>
        <v>301001</v>
      </c>
      <c r="BW70" t="str">
        <f t="shared" si="183"/>
        <v xml:space="preserve"> RAJASTHAN</v>
      </c>
      <c r="BX70" t="str">
        <f t="shared" si="184"/>
        <v>069</v>
      </c>
      <c r="BY70" t="str">
        <f t="shared" si="185"/>
        <v>equip</v>
      </c>
      <c r="BZ70" t="str">
        <f t="shared" si="186"/>
        <v>strap</v>
      </c>
      <c r="CA70" t="str">
        <f t="shared" si="187"/>
        <v>May</v>
      </c>
      <c r="CB70" t="str">
        <f t="shared" si="188"/>
        <v>STRAP</v>
      </c>
      <c r="CC70">
        <f t="shared" si="189"/>
        <v>13</v>
      </c>
      <c r="CD70">
        <f t="shared" si="190"/>
        <v>14</v>
      </c>
      <c r="CE70">
        <f t="shared" si="191"/>
        <v>23</v>
      </c>
      <c r="CF70">
        <f t="shared" si="192"/>
        <v>7</v>
      </c>
      <c r="CG70">
        <f t="shared" si="193"/>
        <v>24</v>
      </c>
      <c r="CH70">
        <f t="shared" si="194"/>
        <v>6</v>
      </c>
      <c r="CI70">
        <f t="shared" si="195"/>
        <v>7</v>
      </c>
      <c r="CJ70" t="str">
        <f t="shared" si="196"/>
        <v>Not found</v>
      </c>
      <c r="CK70">
        <f t="shared" si="197"/>
        <v>14</v>
      </c>
      <c r="CL70">
        <f t="shared" si="198"/>
        <v>4</v>
      </c>
      <c r="CM70">
        <f t="shared" si="199"/>
        <v>15</v>
      </c>
      <c r="CN70">
        <f t="shared" si="200"/>
        <v>7</v>
      </c>
      <c r="CO70">
        <f t="shared" si="201"/>
        <v>19</v>
      </c>
      <c r="CP70">
        <f t="shared" si="202"/>
        <v>10</v>
      </c>
      <c r="CQ70">
        <f t="shared" si="203"/>
        <v>14</v>
      </c>
      <c r="CR70">
        <f t="shared" si="204"/>
        <v>7</v>
      </c>
      <c r="CS70">
        <f t="shared" si="205"/>
        <v>9</v>
      </c>
      <c r="CT70">
        <f t="shared" si="206"/>
        <v>10</v>
      </c>
      <c r="CU70">
        <f t="shared" si="207"/>
        <v>27</v>
      </c>
      <c r="CV70">
        <f t="shared" si="208"/>
        <v>3</v>
      </c>
      <c r="CW70" t="str">
        <f t="shared" si="209"/>
        <v>Customer ID069</v>
      </c>
      <c r="CX70" t="str">
        <f t="shared" si="210"/>
        <v>YOGESH.KUMAR[AT]COMPANY.IN</v>
      </c>
      <c r="CY70" t="str">
        <f t="shared" si="211"/>
        <v>Product-STRAP-069</v>
      </c>
      <c r="CZ70" t="str">
        <f t="shared" si="212"/>
        <v>prd_strap_069</v>
      </c>
      <c r="DA70" t="str">
        <f t="shared" si="213"/>
        <v>DEPARTMENT-EQUIP-069</v>
      </c>
      <c r="DB70" t="str">
        <f t="shared" si="214"/>
        <v>YOGESH.KUMAR@COMPANY.IN</v>
      </c>
      <c r="DC70" t="str">
        <f t="shared" si="215"/>
        <v>HTTPS://STRAPS.IN</v>
      </c>
      <c r="DD70" t="str">
        <f t="shared" si="216"/>
        <v>yogesh/KUMAR//</v>
      </c>
      <c r="DE70" t="str">
        <f t="shared" si="217"/>
        <v>Corporate</v>
      </c>
      <c r="DF70" t="str">
        <f t="shared" si="218"/>
        <v>Alwar; RAJASTHAN;301001</v>
      </c>
      <c r="DG70" t="str">
        <f t="shared" si="219"/>
        <v>EQUIPMENT MANAGER</v>
      </c>
      <c r="DH70" t="str">
        <f t="shared" si="220"/>
        <v>+91-9123567890</v>
      </c>
      <c r="DI70" t="str">
        <f t="shared" si="221"/>
        <v xml:space="preserve">  STRAP solutions PRO  </v>
      </c>
      <c r="DJ70" t="str">
        <f t="shared" si="222"/>
        <v>https:://straps.in</v>
      </c>
      <c r="DK70" t="str">
        <f t="shared" si="223"/>
        <v>369  Hope  Circus</v>
      </c>
      <c r="DL70" t="str">
        <f t="shared" si="224"/>
        <v>YOGESH.KUMAR</v>
      </c>
      <c r="DM70" t="str">
        <f t="shared" si="225"/>
        <v>yogesh.KUMAR@  STRAP solutions PRO  .com</v>
      </c>
      <c r="DN70" t="str">
        <f t="shared" si="226"/>
        <v>yogesh</v>
      </c>
      <c r="DO70" t="str">
        <f t="shared" si="227"/>
        <v>KUMAR</v>
      </c>
      <c r="DP70" t="str">
        <f t="shared" si="228"/>
        <v>KUMAR,yogesh</v>
      </c>
      <c r="DQ70" t="str">
        <f t="shared" si="229"/>
        <v>Name has12characters</v>
      </c>
      <c r="DR70" t="str">
        <f t="shared" si="230"/>
        <v>Check Domain</v>
      </c>
      <c r="DS70" t="str">
        <f t="shared" si="231"/>
        <v>+91-</v>
      </c>
      <c r="DT70" t="str">
        <f t="shared" si="232"/>
        <v>Cus069</v>
      </c>
      <c r="DU70" t="str">
        <f t="shared" si="233"/>
        <v>ykumar</v>
      </c>
      <c r="DV70" t="str">
        <f t="shared" si="234"/>
        <v>prd069</v>
      </c>
      <c r="DW70" t="str">
        <f t="shared" si="235"/>
        <v>+91-9123567890</v>
      </c>
      <c r="DX70" t="str">
        <f t="shared" si="236"/>
        <v>2025</v>
      </c>
      <c r="DY70" t="str">
        <f t="shared" si="237"/>
        <v>y</v>
      </c>
      <c r="DZ70" t="str">
        <f t="shared" si="238"/>
        <v>yogeshKUMAR@  STRAP solutions PRO  .com</v>
      </c>
      <c r="EA70" t="str">
        <f t="shared" si="239"/>
        <v/>
      </c>
      <c r="EB70" t="str">
        <f t="shared" si="240"/>
        <v>COMPANY.IN</v>
      </c>
      <c r="EC70">
        <f t="shared" si="241"/>
        <v>24</v>
      </c>
      <c r="ED70" t="str">
        <f t="shared" si="242"/>
        <v>Al69</v>
      </c>
      <c r="EE70" t="str">
        <f t="shared" si="243"/>
        <v>Alwar- RAJASTHAN(301001)</v>
      </c>
      <c r="EF70" t="str">
        <f t="shared" si="244"/>
        <v>919123567890</v>
      </c>
      <c r="EG70" t="str">
        <f t="shared" si="245"/>
        <v>CUST-069</v>
      </c>
      <c r="EH70" t="str">
        <f t="shared" si="246"/>
        <v>public</v>
      </c>
      <c r="EI70" t="str">
        <f t="shared" si="247"/>
        <v>PRD-069-11May25</v>
      </c>
      <c r="EJ70" t="str">
        <f t="shared" si="248"/>
        <v>Corporate</v>
      </c>
    </row>
    <row r="71" spans="1:140" x14ac:dyDescent="0.3">
      <c r="A71" t="s">
        <v>914</v>
      </c>
      <c r="B71" t="s">
        <v>1540</v>
      </c>
      <c r="C71" t="s">
        <v>1514</v>
      </c>
      <c r="D71" t="s">
        <v>915</v>
      </c>
      <c r="E71" t="s">
        <v>916</v>
      </c>
      <c r="F71" t="s">
        <v>917</v>
      </c>
      <c r="G71" t="s">
        <v>918</v>
      </c>
      <c r="H71" t="s">
        <v>1679</v>
      </c>
      <c r="I71" t="s">
        <v>1670</v>
      </c>
      <c r="J71">
        <v>311001</v>
      </c>
      <c r="K71" t="str">
        <f t="shared" si="138"/>
        <v>bhilwara, RAJASTHAN,311001</v>
      </c>
      <c r="L71" t="s">
        <v>919</v>
      </c>
      <c r="M71" t="s">
        <v>920</v>
      </c>
      <c r="N71" t="s">
        <v>921</v>
      </c>
      <c r="O71" t="s">
        <v>78</v>
      </c>
      <c r="P71" t="s">
        <v>922</v>
      </c>
      <c r="Q71" t="s">
        <v>923</v>
      </c>
      <c r="R71" t="s">
        <v>924</v>
      </c>
      <c r="S71" t="s">
        <v>925</v>
      </c>
      <c r="T71" t="s">
        <v>926</v>
      </c>
      <c r="U71" t="str">
        <f t="shared" si="129"/>
        <v>NISHA MISHRA</v>
      </c>
      <c r="V71" t="str">
        <f t="shared" si="130"/>
        <v>nisha.mishra@mail.in</v>
      </c>
      <c r="W71" t="str">
        <f t="shared" si="139"/>
        <v>Bhilwara</v>
      </c>
      <c r="X71" t="str">
        <f t="shared" si="131"/>
        <v>nisha mishra</v>
      </c>
      <c r="Y71" t="str">
        <f t="shared" si="140"/>
        <v>RETAIL</v>
      </c>
      <c r="Z71" t="str">
        <f t="shared" si="141"/>
        <v>battery world cameras</v>
      </c>
      <c r="AA71" t="str">
        <f t="shared" si="142"/>
        <v>Camera Service</v>
      </c>
      <c r="AB71" t="str">
        <f t="shared" si="132"/>
        <v>741 Gandhi Chowk</v>
      </c>
      <c r="AC71" t="str">
        <f t="shared" si="143"/>
        <v>DEPT-SERVICE-070</v>
      </c>
      <c r="AD71" t="str">
        <f t="shared" si="144"/>
        <v>Canon Lp-E6N Battery</v>
      </c>
      <c r="AE71" t="str">
        <f t="shared" si="145"/>
        <v>www.batteries.com</v>
      </c>
      <c r="AF71" t="str">
        <f t="shared" si="146"/>
        <v>Original battery preferred</v>
      </c>
      <c r="AG71" t="str">
        <f t="shared" si="133"/>
        <v>CUST070</v>
      </c>
      <c r="AH71" t="str">
        <f t="shared" si="147"/>
        <v>PRD-BAT-070</v>
      </c>
      <c r="AI71" t="str">
        <f t="shared" si="134"/>
        <v>Nisha Mishra</v>
      </c>
      <c r="AJ71" t="str">
        <f t="shared" si="135"/>
        <v>(01482) 2468-135</v>
      </c>
      <c r="AK71" t="str">
        <f t="shared" si="148"/>
        <v>retail</v>
      </c>
      <c r="AL71" t="str">
        <f t="shared" si="149"/>
        <v>Battery World Cameras</v>
      </c>
      <c r="AM71" t="str">
        <f t="shared" si="136"/>
        <v>nisha.mishra@mail.in</v>
      </c>
      <c r="AN71" t="str">
        <f t="shared" si="150"/>
        <v>CAMERA SERVICE</v>
      </c>
      <c r="AO71" t="str">
        <f t="shared" si="137"/>
        <v>CUST070-nisha mishra</v>
      </c>
      <c r="AP71" t="str">
        <f t="shared" si="151"/>
        <v>nisha mishra</v>
      </c>
      <c r="AQ71" t="str">
        <f t="shared" si="152"/>
        <v>bhilwara, RAJASTHAN</v>
      </c>
      <c r="AR71" t="str">
        <f t="shared" si="153"/>
        <v>prd-bat-070:CANON lp-e6n BATTERY</v>
      </c>
      <c r="AS71" t="str">
        <f t="shared" si="154"/>
        <v>nisha.mishra@mail.in|(01482) 2468-135</v>
      </c>
      <c r="AT71" t="str">
        <f t="shared" si="155"/>
        <v>battery WORLD cameras-Camera Service</v>
      </c>
      <c r="AU71" t="str">
        <f t="shared" si="156"/>
        <v>retail 18-May-2025</v>
      </c>
      <c r="AV71" t="str">
        <f t="shared" si="157"/>
        <v>741 Gandhi Chowk,bhilwara, RAJASTHAN,311001</v>
      </c>
      <c r="AW71" t="str">
        <f t="shared" si="158"/>
        <v>dept-service-070_Camera Service</v>
      </c>
      <c r="AX71" t="str">
        <f t="shared" si="159"/>
        <v>Customer ID:CUST070</v>
      </c>
      <c r="AY71" t="str">
        <f t="shared" si="160"/>
        <v>Email:nisha.mishra@mail.in</v>
      </c>
      <c r="AZ71" t="str">
        <f t="shared" si="161"/>
        <v>WWW.BATTERIES.COM/contact</v>
      </c>
      <c r="BA71" t="str">
        <f t="shared" si="162"/>
        <v>Order Placed On 18-May-2025</v>
      </c>
      <c r="BB71" t="str">
        <f t="shared" si="163"/>
        <v>nisha mishra(retail)</v>
      </c>
      <c r="BC71" t="str">
        <f t="shared" si="164"/>
        <v>prd-bat-070/CANON lp-e6n BATTERY</v>
      </c>
      <c r="BD71" t="str">
        <f t="shared" si="165"/>
        <v>call (01482) 2468-135</v>
      </c>
      <c r="BE71" t="str">
        <f t="shared" si="166"/>
        <v>battery WORLD cameras-dept-service-070</v>
      </c>
      <c r="BF71" t="str">
        <f t="shared" si="167"/>
        <v>CUST070-70</v>
      </c>
      <c r="BG71" t="str">
        <f t="shared" si="168"/>
        <v>Customer: nisha mishra,Type: retail</v>
      </c>
      <c r="BH71" t="str">
        <f t="shared" si="169"/>
        <v>bhilwara,india</v>
      </c>
      <c r="BI71" t="str">
        <f t="shared" si="170"/>
        <v>CUST</v>
      </c>
      <c r="BJ71" t="str">
        <f t="shared" si="171"/>
        <v>nisha.mish</v>
      </c>
      <c r="BK71" t="str">
        <f t="shared" si="172"/>
        <v xml:space="preserve">nisha </v>
      </c>
      <c r="BL71" t="str">
        <f t="shared" si="173"/>
        <v>prd-b</v>
      </c>
      <c r="BM71" t="str">
        <f t="shared" si="174"/>
        <v>ret</v>
      </c>
      <c r="BN71" t="str">
        <f t="shared" si="175"/>
        <v xml:space="preserve">(01482) </v>
      </c>
      <c r="BO71" t="str">
        <f t="shared" si="176"/>
        <v>mail.in</v>
      </c>
      <c r="BP71" t="str">
        <f t="shared" si="177"/>
        <v>bhilwara</v>
      </c>
      <c r="BQ71" t="str">
        <f t="shared" si="178"/>
        <v>T070</v>
      </c>
      <c r="BR71" t="str">
        <f t="shared" si="179"/>
        <v>ishra</v>
      </c>
      <c r="BS71" t="str">
        <f t="shared" si="180"/>
        <v>at-070</v>
      </c>
      <c r="BU71" t="str">
        <f t="shared" si="181"/>
        <v>8-135</v>
      </c>
      <c r="BV71" t="str">
        <f t="shared" si="182"/>
        <v>311001</v>
      </c>
      <c r="BW71" t="str">
        <f t="shared" si="183"/>
        <v xml:space="preserve"> RAJASTHAN</v>
      </c>
      <c r="BX71" t="str">
        <f t="shared" si="184"/>
        <v>070</v>
      </c>
      <c r="BY71" t="str">
        <f t="shared" si="185"/>
        <v>service</v>
      </c>
      <c r="BZ71" t="str">
        <f t="shared" si="186"/>
        <v>bat</v>
      </c>
      <c r="CA71" t="str">
        <f t="shared" si="187"/>
        <v>May</v>
      </c>
      <c r="CB71" t="str">
        <f t="shared" si="188"/>
        <v>ttery</v>
      </c>
      <c r="CC71">
        <f t="shared" si="189"/>
        <v>13</v>
      </c>
      <c r="CD71">
        <f t="shared" si="190"/>
        <v>12</v>
      </c>
      <c r="CE71">
        <f t="shared" si="191"/>
        <v>20</v>
      </c>
      <c r="CF71">
        <f t="shared" si="192"/>
        <v>6</v>
      </c>
      <c r="CG71">
        <f t="shared" si="193"/>
        <v>20</v>
      </c>
      <c r="CH71">
        <f t="shared" si="194"/>
        <v>9</v>
      </c>
      <c r="CI71">
        <f t="shared" si="195"/>
        <v>7</v>
      </c>
      <c r="CJ71" t="str">
        <f t="shared" si="196"/>
        <v>Not found</v>
      </c>
      <c r="CK71">
        <f t="shared" si="197"/>
        <v>16</v>
      </c>
      <c r="CL71">
        <f t="shared" si="198"/>
        <v>4</v>
      </c>
      <c r="CM71">
        <f t="shared" si="199"/>
        <v>16</v>
      </c>
      <c r="CN71">
        <f t="shared" si="200"/>
        <v>6</v>
      </c>
      <c r="CO71">
        <f t="shared" si="201"/>
        <v>21</v>
      </c>
      <c r="CP71">
        <f t="shared" si="202"/>
        <v>8</v>
      </c>
      <c r="CQ71">
        <f t="shared" si="203"/>
        <v>16</v>
      </c>
      <c r="CR71" t="str">
        <f t="shared" si="204"/>
        <v>not found</v>
      </c>
      <c r="CS71">
        <f t="shared" si="205"/>
        <v>6</v>
      </c>
      <c r="CT71">
        <f t="shared" si="206"/>
        <v>8</v>
      </c>
      <c r="CU71">
        <f t="shared" si="207"/>
        <v>30</v>
      </c>
      <c r="CV71">
        <f t="shared" si="208"/>
        <v>3</v>
      </c>
      <c r="CW71" t="str">
        <f t="shared" si="209"/>
        <v>Customer ID070</v>
      </c>
      <c r="CX71" t="str">
        <f t="shared" si="210"/>
        <v>nisha.mishra[AT]mail.in</v>
      </c>
      <c r="CY71" t="str">
        <f t="shared" si="211"/>
        <v>Product-BAT-070</v>
      </c>
      <c r="CZ71" t="str">
        <f t="shared" si="212"/>
        <v>prd_bat_070</v>
      </c>
      <c r="DA71" t="str">
        <f t="shared" si="213"/>
        <v>DEPARTMENT-SERVICE-070</v>
      </c>
      <c r="DB71" t="str">
        <f t="shared" si="214"/>
        <v>NISHA.MISHRA@MAIL.IN</v>
      </c>
      <c r="DC71" t="str">
        <f t="shared" si="215"/>
        <v>https://www..BATTERIES.COM</v>
      </c>
      <c r="DD71" t="str">
        <f t="shared" si="216"/>
        <v>nisha/mishra</v>
      </c>
      <c r="DE71" t="str">
        <f t="shared" si="217"/>
        <v>RETAIL CUSTOMER</v>
      </c>
      <c r="DF71" t="str">
        <f t="shared" si="218"/>
        <v>bhilwara; RAJASTHAN;311001</v>
      </c>
      <c r="DG71" t="str">
        <f t="shared" si="219"/>
        <v>Camera Service</v>
      </c>
      <c r="DH71" t="str">
        <f t="shared" si="220"/>
        <v xml:space="preserve"> 01482  2468-135</v>
      </c>
      <c r="DI71" t="str">
        <f t="shared" si="221"/>
        <v>battery WORLD cameras</v>
      </c>
      <c r="DJ71" t="str">
        <f t="shared" si="222"/>
        <v>WWW.BATTERIES.COM</v>
      </c>
      <c r="DK71" t="str">
        <f t="shared" si="223"/>
        <v>741  Gandhi  Chowk</v>
      </c>
      <c r="DL71" t="str">
        <f t="shared" si="224"/>
        <v>nisha.mishra</v>
      </c>
      <c r="DM71" t="str">
        <f t="shared" si="225"/>
        <v>nisha.mishra@battery WORLD cameras.com</v>
      </c>
      <c r="DN71" t="str">
        <f t="shared" si="226"/>
        <v>nisha</v>
      </c>
      <c r="DO71" t="str">
        <f t="shared" si="227"/>
        <v>mishra</v>
      </c>
      <c r="DP71" t="str">
        <f t="shared" si="228"/>
        <v>mishra,nisha</v>
      </c>
      <c r="DQ71" t="str">
        <f t="shared" si="229"/>
        <v>Name has12characters</v>
      </c>
      <c r="DR71" t="str">
        <f t="shared" si="230"/>
        <v>Check Domain</v>
      </c>
      <c r="DS71" t="str">
        <f t="shared" si="231"/>
        <v>(014</v>
      </c>
      <c r="DT71" t="str">
        <f t="shared" si="232"/>
        <v>CUS070</v>
      </c>
      <c r="DU71" t="str">
        <f t="shared" si="233"/>
        <v>nmishra</v>
      </c>
      <c r="DV71" t="str">
        <f t="shared" si="234"/>
        <v>prd070</v>
      </c>
      <c r="DW71" t="str">
        <f t="shared" si="235"/>
        <v>(01482) 2468-135</v>
      </c>
      <c r="DX71" t="str">
        <f t="shared" si="236"/>
        <v>2025</v>
      </c>
      <c r="DY71" t="str">
        <f t="shared" si="237"/>
        <v>n</v>
      </c>
      <c r="DZ71" t="str">
        <f t="shared" si="238"/>
        <v>nishamishra@battery WORLD cameras.com</v>
      </c>
      <c r="EA71" t="str">
        <f t="shared" si="239"/>
        <v>Retail</v>
      </c>
      <c r="EB71" t="str">
        <f t="shared" si="240"/>
        <v>mail.in</v>
      </c>
      <c r="EC71">
        <f t="shared" si="241"/>
        <v>20</v>
      </c>
      <c r="ED71" t="str">
        <f t="shared" si="242"/>
        <v>bh70</v>
      </c>
      <c r="EE71" t="str">
        <f t="shared" si="243"/>
        <v>bhilwara- RAJASTHAN(311001)</v>
      </c>
      <c r="EF71" t="str">
        <f t="shared" si="244"/>
        <v>014822468135</v>
      </c>
      <c r="EG71" t="str">
        <f t="shared" si="245"/>
        <v>CUST-070</v>
      </c>
      <c r="EH71" t="str">
        <f t="shared" si="246"/>
        <v>public</v>
      </c>
      <c r="EI71" t="str">
        <f t="shared" si="247"/>
        <v>PRD-070-18May25</v>
      </c>
      <c r="EJ71" t="str">
        <f t="shared" si="248"/>
        <v>Retail</v>
      </c>
    </row>
    <row r="72" spans="1:140" x14ac:dyDescent="0.3">
      <c r="A72" t="s">
        <v>927</v>
      </c>
      <c r="B72" t="s">
        <v>1541</v>
      </c>
      <c r="C72" t="s">
        <v>1479</v>
      </c>
      <c r="D72" t="s">
        <v>928</v>
      </c>
      <c r="E72" t="s">
        <v>929</v>
      </c>
      <c r="F72" t="s">
        <v>930</v>
      </c>
      <c r="G72" t="s">
        <v>931</v>
      </c>
      <c r="H72" t="s">
        <v>1680</v>
      </c>
      <c r="I72" t="s">
        <v>1594</v>
      </c>
      <c r="J72">
        <v>395002</v>
      </c>
      <c r="K72" t="str">
        <f t="shared" si="138"/>
        <v>SURAT, Gujarat,395002</v>
      </c>
      <c r="L72" t="s">
        <v>932</v>
      </c>
      <c r="M72" t="s">
        <v>933</v>
      </c>
      <c r="N72" t="s">
        <v>934</v>
      </c>
      <c r="O72" t="s">
        <v>92</v>
      </c>
      <c r="P72" t="s">
        <v>935</v>
      </c>
      <c r="Q72" t="s">
        <v>936</v>
      </c>
      <c r="R72" t="s">
        <v>937</v>
      </c>
      <c r="S72" t="s">
        <v>938</v>
      </c>
      <c r="T72" t="s">
        <v>939</v>
      </c>
      <c r="U72" t="str">
        <f t="shared" si="129"/>
        <v xml:space="preserve">  SUNIL SINGH</v>
      </c>
      <c r="V72" t="str">
        <f t="shared" si="130"/>
        <v>sunil_singh@email.in</v>
      </c>
      <c r="W72" t="str">
        <f t="shared" si="139"/>
        <v>Surat</v>
      </c>
      <c r="X72" t="str">
        <f t="shared" si="131"/>
        <v>SUNIL singh</v>
      </c>
      <c r="Y72" t="str">
        <f t="shared" si="140"/>
        <v>WHOLESALE</v>
      </c>
      <c r="Z72" t="str">
        <f t="shared" si="141"/>
        <v>charger solutions india</v>
      </c>
      <c r="AA72" t="str">
        <f t="shared" si="142"/>
        <v>Accessories Head</v>
      </c>
      <c r="AB72" t="str">
        <f t="shared" si="132"/>
        <v>852 Ring Road</v>
      </c>
      <c r="AC72" t="str">
        <f t="shared" si="143"/>
        <v>DEPT-ACC-071</v>
      </c>
      <c r="AD72" t="str">
        <f t="shared" si="144"/>
        <v>Canon Battery Charger Lc-E6</v>
      </c>
      <c r="AE72" t="str">
        <f t="shared" si="145"/>
        <v>www.chargers.in</v>
      </c>
      <c r="AF72" t="str">
        <f t="shared" si="146"/>
        <v>Dual charging slot</v>
      </c>
      <c r="AG72" t="str">
        <f t="shared" si="133"/>
        <v>CUST071</v>
      </c>
      <c r="AH72" t="str">
        <f t="shared" si="147"/>
        <v>PRD-CHAR-071</v>
      </c>
      <c r="AI72" t="str">
        <f t="shared" si="134"/>
        <v xml:space="preserve">  Sunil Singh</v>
      </c>
      <c r="AJ72" t="str">
        <f t="shared" si="135"/>
        <v>0261-3698741</v>
      </c>
      <c r="AK72" t="str">
        <f t="shared" si="148"/>
        <v>wholesale</v>
      </c>
      <c r="AL72" t="str">
        <f t="shared" si="149"/>
        <v>Charger Solutions India</v>
      </c>
      <c r="AM72" t="str">
        <f t="shared" si="136"/>
        <v>sunil_singh@email.in</v>
      </c>
      <c r="AN72" t="str">
        <f t="shared" si="150"/>
        <v>ACCESSORIES HEAD</v>
      </c>
      <c r="AO72" t="str">
        <f t="shared" si="137"/>
        <v>cust071-  SUNIL singh</v>
      </c>
      <c r="AP72" t="str">
        <f t="shared" si="151"/>
        <v>SUNIL singh</v>
      </c>
      <c r="AQ72" t="str">
        <f t="shared" si="152"/>
        <v>SURAT, Gujarat</v>
      </c>
      <c r="AR72" t="str">
        <f t="shared" si="153"/>
        <v>PRD-CHAR-071:CANON battery CHARGER lc-e6</v>
      </c>
      <c r="AS72" t="str">
        <f t="shared" si="154"/>
        <v>sunil_singh@email.in|0261-3698741</v>
      </c>
      <c r="AT72" t="str">
        <f t="shared" si="155"/>
        <v>CHARGER solutions INDIA-Accessories Head</v>
      </c>
      <c r="AU72" t="str">
        <f t="shared" si="156"/>
        <v>WholeSale 25-May-2025</v>
      </c>
      <c r="AV72" t="str">
        <f t="shared" si="157"/>
        <v xml:space="preserve">  852 Ring Road  ,SURAT, Gujarat,395002</v>
      </c>
      <c r="AW72" t="str">
        <f t="shared" si="158"/>
        <v>DEPT-ACC-071_Accessories Head</v>
      </c>
      <c r="AX72" t="str">
        <f t="shared" si="159"/>
        <v>Customer ID:cust071</v>
      </c>
      <c r="AY72" t="str">
        <f t="shared" si="160"/>
        <v>Email:sunil_singh@email.in</v>
      </c>
      <c r="AZ72" t="str">
        <f t="shared" si="161"/>
        <v>www.chargers.in/contact</v>
      </c>
      <c r="BA72" t="str">
        <f t="shared" si="162"/>
        <v>Order Placed On 25-May-2025</v>
      </c>
      <c r="BB72" t="str">
        <f t="shared" si="163"/>
        <v xml:space="preserve">  SUNIL singh(WholeSale)</v>
      </c>
      <c r="BC72" t="str">
        <f t="shared" si="164"/>
        <v>PRD-CHAR-071/CANON battery CHARGER lc-e6</v>
      </c>
      <c r="BD72" t="str">
        <f t="shared" si="165"/>
        <v>call 0261-3698741</v>
      </c>
      <c r="BE72" t="str">
        <f t="shared" si="166"/>
        <v>CHARGER solutions INDIA-DEPT-ACC-071</v>
      </c>
      <c r="BF72" t="str">
        <f t="shared" si="167"/>
        <v>cust071-71</v>
      </c>
      <c r="BG72" t="str">
        <f t="shared" si="168"/>
        <v>Customer:   SUNIL singh,Type: WholeSale</v>
      </c>
      <c r="BH72" t="str">
        <f t="shared" si="169"/>
        <v>SURAT,india</v>
      </c>
      <c r="BI72" t="str">
        <f t="shared" si="170"/>
        <v>cust</v>
      </c>
      <c r="BJ72" t="str">
        <f t="shared" si="171"/>
        <v>sunil_sing</v>
      </c>
      <c r="BK72" t="str">
        <f t="shared" si="172"/>
        <v xml:space="preserve">SUNIL </v>
      </c>
      <c r="BL72" t="str">
        <f t="shared" si="173"/>
        <v>PRD-C</v>
      </c>
      <c r="BM72" t="str">
        <f t="shared" si="174"/>
        <v>Who</v>
      </c>
      <c r="BN72" t="str">
        <f t="shared" si="175"/>
        <v>0261-369</v>
      </c>
      <c r="BO72" t="str">
        <f t="shared" si="176"/>
        <v>email.in</v>
      </c>
      <c r="BP72" t="str">
        <f t="shared" si="177"/>
        <v>SURAT</v>
      </c>
      <c r="BQ72" t="str">
        <f t="shared" si="178"/>
        <v>t071</v>
      </c>
      <c r="BR72" t="str">
        <f t="shared" si="179"/>
        <v>singh</v>
      </c>
      <c r="BS72" t="str">
        <f t="shared" si="180"/>
        <v>AR-071</v>
      </c>
      <c r="BU72" t="str">
        <f t="shared" si="181"/>
        <v>98741</v>
      </c>
      <c r="BV72" t="str">
        <f t="shared" si="182"/>
        <v>395002</v>
      </c>
      <c r="BW72" t="str">
        <f t="shared" si="183"/>
        <v xml:space="preserve"> Gujarat</v>
      </c>
      <c r="BX72" t="str">
        <f t="shared" si="184"/>
        <v>071</v>
      </c>
      <c r="BY72" t="str">
        <f t="shared" si="185"/>
        <v>ACC</v>
      </c>
      <c r="BZ72" t="str">
        <f t="shared" si="186"/>
        <v>CHAR</v>
      </c>
      <c r="CA72" t="str">
        <f t="shared" si="187"/>
        <v>May</v>
      </c>
      <c r="CB72" t="str">
        <f t="shared" si="188"/>
        <v>ARGER</v>
      </c>
      <c r="CC72">
        <f t="shared" si="189"/>
        <v>12</v>
      </c>
      <c r="CD72">
        <f t="shared" si="190"/>
        <v>13</v>
      </c>
      <c r="CE72">
        <f t="shared" si="191"/>
        <v>20</v>
      </c>
      <c r="CF72">
        <f t="shared" si="192"/>
        <v>1</v>
      </c>
      <c r="CG72">
        <f t="shared" si="193"/>
        <v>27</v>
      </c>
      <c r="CH72">
        <f t="shared" si="194"/>
        <v>6</v>
      </c>
      <c r="CI72">
        <f t="shared" si="195"/>
        <v>7</v>
      </c>
      <c r="CJ72">
        <f t="shared" si="196"/>
        <v>1</v>
      </c>
      <c r="CK72">
        <f t="shared" si="197"/>
        <v>12</v>
      </c>
      <c r="CL72">
        <f t="shared" si="198"/>
        <v>4</v>
      </c>
      <c r="CM72">
        <f t="shared" si="199"/>
        <v>17</v>
      </c>
      <c r="CN72">
        <f t="shared" si="200"/>
        <v>18</v>
      </c>
      <c r="CO72">
        <f t="shared" si="201"/>
        <v>23</v>
      </c>
      <c r="CP72">
        <f t="shared" si="202"/>
        <v>9</v>
      </c>
      <c r="CQ72">
        <f t="shared" si="203"/>
        <v>12</v>
      </c>
      <c r="CR72" t="str">
        <f t="shared" si="204"/>
        <v>not found</v>
      </c>
      <c r="CS72">
        <f t="shared" si="205"/>
        <v>9</v>
      </c>
      <c r="CT72">
        <f t="shared" si="206"/>
        <v>9</v>
      </c>
      <c r="CU72">
        <f t="shared" si="207"/>
        <v>18</v>
      </c>
      <c r="CV72">
        <f t="shared" si="208"/>
        <v>3</v>
      </c>
      <c r="CW72" t="str">
        <f t="shared" si="209"/>
        <v>Customer ID071</v>
      </c>
      <c r="CX72" t="str">
        <f t="shared" si="210"/>
        <v>sunil_singh[AT]email.in</v>
      </c>
      <c r="CY72" t="str">
        <f t="shared" si="211"/>
        <v>Product-CHAR-071</v>
      </c>
      <c r="CZ72" t="str">
        <f t="shared" si="212"/>
        <v>PRD_CHAR_071</v>
      </c>
      <c r="DA72" t="str">
        <f t="shared" si="213"/>
        <v>DEPARTMENT-ACC-071</v>
      </c>
      <c r="DB72" t="str">
        <f t="shared" si="214"/>
        <v>SUNIL_SINGH@EMAIL.IN</v>
      </c>
      <c r="DC72" t="str">
        <f t="shared" si="215"/>
        <v>https://www..CHARGERS.IN</v>
      </c>
      <c r="DD72" t="str">
        <f t="shared" si="216"/>
        <v>//SUNIL/singh</v>
      </c>
      <c r="DE72" t="str">
        <f t="shared" si="217"/>
        <v>WholeSale</v>
      </c>
      <c r="DF72" t="str">
        <f t="shared" si="218"/>
        <v>SURAT; Gujarat;395002</v>
      </c>
      <c r="DG72" t="str">
        <f t="shared" si="219"/>
        <v>Accessories Head</v>
      </c>
      <c r="DH72" t="str">
        <f t="shared" si="220"/>
        <v>0261-3698741</v>
      </c>
      <c r="DI72" t="str">
        <f t="shared" si="221"/>
        <v>CHARGER solutions INDIA</v>
      </c>
      <c r="DJ72" t="str">
        <f t="shared" si="222"/>
        <v>www.chargers.in</v>
      </c>
      <c r="DK72" t="str">
        <f t="shared" si="223"/>
        <v xml:space="preserve">    852  Ring  Road    </v>
      </c>
      <c r="DL72" t="str">
        <f t="shared" si="224"/>
        <v>sunil_singh</v>
      </c>
      <c r="DM72" t="str">
        <f t="shared" si="225"/>
        <v>SUNIL.singh@CHARGER solutions INDIA.com</v>
      </c>
      <c r="DN72" t="str">
        <f t="shared" si="226"/>
        <v>SUNIL</v>
      </c>
      <c r="DO72" t="str">
        <f t="shared" si="227"/>
        <v>singh</v>
      </c>
      <c r="DP72" t="str">
        <f t="shared" si="228"/>
        <v>singh,SUNIL</v>
      </c>
      <c r="DQ72" t="str">
        <f t="shared" si="229"/>
        <v>Name has11characters</v>
      </c>
      <c r="DR72" t="str">
        <f t="shared" si="230"/>
        <v>Check Domain</v>
      </c>
      <c r="DS72" t="str">
        <f t="shared" si="231"/>
        <v>0261</v>
      </c>
      <c r="DT72" t="str">
        <f t="shared" si="232"/>
        <v>cus071</v>
      </c>
      <c r="DU72" t="str">
        <f t="shared" si="233"/>
        <v>Ssingh</v>
      </c>
      <c r="DV72" t="str">
        <f t="shared" si="234"/>
        <v>PRD071</v>
      </c>
      <c r="DW72" t="str">
        <f t="shared" si="235"/>
        <v>0261-3698741</v>
      </c>
      <c r="DX72" t="str">
        <f t="shared" si="236"/>
        <v>2025</v>
      </c>
      <c r="DY72" t="str">
        <f t="shared" si="237"/>
        <v>S</v>
      </c>
      <c r="DZ72" t="str">
        <f t="shared" si="238"/>
        <v>SUNILsingh@CHARGER solutions INDIA.com</v>
      </c>
      <c r="EA72" t="str">
        <f t="shared" si="239"/>
        <v>Wholesale</v>
      </c>
      <c r="EB72" t="str">
        <f t="shared" si="240"/>
        <v>email.in</v>
      </c>
      <c r="EC72">
        <f t="shared" si="241"/>
        <v>27</v>
      </c>
      <c r="ED72" t="str">
        <f t="shared" si="242"/>
        <v>SU71</v>
      </c>
      <c r="EE72" t="str">
        <f t="shared" si="243"/>
        <v>SURAT- Gujarat(395002)</v>
      </c>
      <c r="EF72" t="str">
        <f t="shared" si="244"/>
        <v>02613698741</v>
      </c>
      <c r="EG72" t="str">
        <f t="shared" si="245"/>
        <v>CUST-071</v>
      </c>
      <c r="EH72" t="str">
        <f t="shared" si="246"/>
        <v>public</v>
      </c>
      <c r="EI72" t="str">
        <f t="shared" si="247"/>
        <v>PRD-071-25May25</v>
      </c>
      <c r="EJ72" t="str">
        <f t="shared" si="248"/>
        <v>Wholesale</v>
      </c>
    </row>
    <row r="73" spans="1:140" x14ac:dyDescent="0.3">
      <c r="A73" t="s">
        <v>940</v>
      </c>
      <c r="B73" t="s">
        <v>1542</v>
      </c>
      <c r="C73" t="s">
        <v>1483</v>
      </c>
      <c r="D73" t="s">
        <v>941</v>
      </c>
      <c r="E73" t="s">
        <v>942</v>
      </c>
      <c r="F73" t="s">
        <v>943</v>
      </c>
      <c r="G73" t="s">
        <v>944</v>
      </c>
      <c r="H73" t="s">
        <v>1591</v>
      </c>
      <c r="I73" t="s">
        <v>1629</v>
      </c>
      <c r="J73">
        <v>380007</v>
      </c>
      <c r="K73" t="str">
        <f t="shared" si="138"/>
        <v>Ahmedabad, GUJARAT,380007</v>
      </c>
      <c r="L73" t="s">
        <v>945</v>
      </c>
      <c r="M73" t="s">
        <v>946</v>
      </c>
      <c r="N73" t="s">
        <v>947</v>
      </c>
      <c r="O73" t="s">
        <v>132</v>
      </c>
      <c r="P73" t="s">
        <v>948</v>
      </c>
      <c r="Q73" t="s">
        <v>949</v>
      </c>
      <c r="R73" t="s">
        <v>950</v>
      </c>
      <c r="S73" t="s">
        <v>951</v>
      </c>
      <c r="T73" t="s">
        <v>952</v>
      </c>
      <c r="U73" t="str">
        <f t="shared" si="129"/>
        <v xml:space="preserve">VANDANA TIWARI  </v>
      </c>
      <c r="V73" t="str">
        <f t="shared" si="130"/>
        <v>vandana.tiwari@corporate.com</v>
      </c>
      <c r="W73" t="str">
        <f t="shared" si="139"/>
        <v>Ahmedabad</v>
      </c>
      <c r="X73" t="str">
        <f t="shared" si="131"/>
        <v>vandana TIWARI</v>
      </c>
      <c r="Y73" t="str">
        <f t="shared" si="140"/>
        <v>CORPORATE</v>
      </c>
      <c r="Z73" t="str">
        <f t="shared" si="141"/>
        <v xml:space="preserve">  grip world pro  </v>
      </c>
      <c r="AA73" t="str">
        <f t="shared" si="142"/>
        <v>Camera Tech</v>
      </c>
      <c r="AB73" t="str">
        <f t="shared" si="132"/>
        <v>963 Paldi</v>
      </c>
      <c r="AC73" t="str">
        <f t="shared" si="143"/>
        <v>DEPT-TECH-072</v>
      </c>
      <c r="AD73" t="str">
        <f t="shared" si="144"/>
        <v>Meike Battery Grip Canon</v>
      </c>
      <c r="AE73" t="str">
        <f t="shared" si="145"/>
        <v>https://grips.in</v>
      </c>
      <c r="AF73" t="str">
        <f t="shared" si="146"/>
        <v>Shutter button included?</v>
      </c>
      <c r="AG73" t="str">
        <f t="shared" si="133"/>
        <v>CUST072</v>
      </c>
      <c r="AH73" t="str">
        <f t="shared" si="147"/>
        <v>PRD-GRIP-072</v>
      </c>
      <c r="AI73" t="str">
        <f t="shared" si="134"/>
        <v xml:space="preserve">Vandana Tiwari  </v>
      </c>
      <c r="AJ73" t="str">
        <f t="shared" si="135"/>
        <v>+91-9988456789</v>
      </c>
      <c r="AK73" t="str">
        <f t="shared" si="148"/>
        <v>corporate</v>
      </c>
      <c r="AL73" t="str">
        <f t="shared" si="149"/>
        <v>Grip World Pro</v>
      </c>
      <c r="AM73" t="str">
        <f t="shared" si="136"/>
        <v>vandana.tiwari@corporate.com</v>
      </c>
      <c r="AN73" t="str">
        <f t="shared" si="150"/>
        <v>CAMERA TECH</v>
      </c>
      <c r="AO73" t="str">
        <f t="shared" si="137"/>
        <v xml:space="preserve">Cust072-vandana TIWARI  </v>
      </c>
      <c r="AP73" t="str">
        <f t="shared" si="151"/>
        <v>vandana TIWARI</v>
      </c>
      <c r="AQ73" t="str">
        <f t="shared" si="152"/>
        <v>Ahmedabad, GUJARAT</v>
      </c>
      <c r="AR73" t="str">
        <f t="shared" si="153"/>
        <v>prd-grip-072:MEIKE battery GRIP canon</v>
      </c>
      <c r="AS73" t="str">
        <f t="shared" si="154"/>
        <v>VANDANA.TIWARI@CORPORATE.COM|+91-9988456789</v>
      </c>
      <c r="AT73" t="str">
        <f t="shared" si="155"/>
        <v xml:space="preserve">  GRIP world PRO  -CAMERA TECH</v>
      </c>
      <c r="AU73" t="str">
        <f t="shared" si="156"/>
        <v>Corporate 01-Jun-2025</v>
      </c>
      <c r="AV73" t="str">
        <f t="shared" si="157"/>
        <v>963 Paldi,Ahmedabad, GUJARAT,380007</v>
      </c>
      <c r="AW73" t="str">
        <f t="shared" si="158"/>
        <v>dept-tech-072_CAMERA TECH</v>
      </c>
      <c r="AX73" t="str">
        <f t="shared" si="159"/>
        <v>Customer ID:Cust072</v>
      </c>
      <c r="AY73" t="str">
        <f t="shared" si="160"/>
        <v>Email:VANDANA.TIWARI@CORPORATE.COM</v>
      </c>
      <c r="AZ73" t="str">
        <f t="shared" si="161"/>
        <v>https://grips.in/contact</v>
      </c>
      <c r="BA73" t="str">
        <f t="shared" si="162"/>
        <v>Order Placed On 01-Jun-2025</v>
      </c>
      <c r="BB73" t="str">
        <f t="shared" si="163"/>
        <v>vandana TIWARI  (Corporate)</v>
      </c>
      <c r="BC73" t="str">
        <f t="shared" si="164"/>
        <v>prd-grip-072/MEIKE battery GRIP canon</v>
      </c>
      <c r="BD73" t="str">
        <f t="shared" si="165"/>
        <v>call +91-9988456789</v>
      </c>
      <c r="BE73" t="str">
        <f t="shared" si="166"/>
        <v xml:space="preserve">  GRIP world PRO  -dept-tech-072</v>
      </c>
      <c r="BF73" t="str">
        <f t="shared" si="167"/>
        <v>Cust072-72</v>
      </c>
      <c r="BG73" t="str">
        <f t="shared" si="168"/>
        <v>Customer: vandana TIWARI  ,Type: Corporate</v>
      </c>
      <c r="BH73" t="str">
        <f t="shared" si="169"/>
        <v>Ahmedabad,india</v>
      </c>
      <c r="BI73" t="str">
        <f t="shared" si="170"/>
        <v>Cust</v>
      </c>
      <c r="BJ73" t="str">
        <f t="shared" si="171"/>
        <v>VANDANA.TI</v>
      </c>
      <c r="BK73" t="str">
        <f t="shared" si="172"/>
        <v xml:space="preserve">vandana </v>
      </c>
      <c r="BL73" t="str">
        <f t="shared" si="173"/>
        <v>prd-g</v>
      </c>
      <c r="BM73" t="str">
        <f t="shared" si="174"/>
        <v>Cor</v>
      </c>
      <c r="BN73" t="str">
        <f t="shared" si="175"/>
        <v>+91-9988</v>
      </c>
      <c r="BO73" t="str">
        <f t="shared" si="176"/>
        <v>CORPORATE.COM</v>
      </c>
      <c r="BP73" t="str">
        <f t="shared" si="177"/>
        <v>Ahmedabad</v>
      </c>
      <c r="BQ73" t="str">
        <f t="shared" si="178"/>
        <v>t072</v>
      </c>
      <c r="BR73" t="str">
        <f t="shared" si="179"/>
        <v xml:space="preserve"> TIWARI</v>
      </c>
      <c r="BS73" t="str">
        <f t="shared" si="180"/>
        <v>ip-072</v>
      </c>
      <c r="BU73" t="str">
        <f t="shared" si="181"/>
        <v>56789</v>
      </c>
      <c r="BV73" t="str">
        <f t="shared" si="182"/>
        <v>380007</v>
      </c>
      <c r="BW73" t="str">
        <f t="shared" si="183"/>
        <v xml:space="preserve"> GUJARAT</v>
      </c>
      <c r="BX73" t="str">
        <f t="shared" si="184"/>
        <v>072</v>
      </c>
      <c r="BY73" t="str">
        <f t="shared" si="185"/>
        <v>tech</v>
      </c>
      <c r="BZ73" t="str">
        <f t="shared" si="186"/>
        <v>grip</v>
      </c>
      <c r="CA73" t="str">
        <f t="shared" si="187"/>
        <v>Jun</v>
      </c>
      <c r="CB73" t="str">
        <f t="shared" si="188"/>
        <v xml:space="preserve">GRIP </v>
      </c>
      <c r="CC73">
        <f t="shared" si="189"/>
        <v>15</v>
      </c>
      <c r="CD73">
        <f t="shared" si="190"/>
        <v>16</v>
      </c>
      <c r="CE73">
        <f t="shared" si="191"/>
        <v>28</v>
      </c>
      <c r="CF73">
        <f t="shared" si="192"/>
        <v>8</v>
      </c>
      <c r="CG73">
        <f t="shared" si="193"/>
        <v>24</v>
      </c>
      <c r="CH73">
        <f t="shared" si="194"/>
        <v>10</v>
      </c>
      <c r="CI73">
        <f t="shared" si="195"/>
        <v>7</v>
      </c>
      <c r="CJ73" t="str">
        <f t="shared" si="196"/>
        <v>Not found</v>
      </c>
      <c r="CK73">
        <f t="shared" si="197"/>
        <v>14</v>
      </c>
      <c r="CL73">
        <f t="shared" si="198"/>
        <v>4</v>
      </c>
      <c r="CM73">
        <f t="shared" si="199"/>
        <v>9</v>
      </c>
      <c r="CN73">
        <f t="shared" si="200"/>
        <v>8</v>
      </c>
      <c r="CO73">
        <f t="shared" si="201"/>
        <v>14</v>
      </c>
      <c r="CP73">
        <f t="shared" si="202"/>
        <v>9</v>
      </c>
      <c r="CQ73">
        <f t="shared" si="203"/>
        <v>13</v>
      </c>
      <c r="CR73">
        <f t="shared" si="204"/>
        <v>7</v>
      </c>
      <c r="CS73">
        <f t="shared" si="205"/>
        <v>9</v>
      </c>
      <c r="CT73">
        <f t="shared" si="206"/>
        <v>9</v>
      </c>
      <c r="CU73">
        <f t="shared" si="207"/>
        <v>24</v>
      </c>
      <c r="CV73">
        <f t="shared" si="208"/>
        <v>3</v>
      </c>
      <c r="CW73" t="str">
        <f t="shared" si="209"/>
        <v>Customer ID072</v>
      </c>
      <c r="CX73" t="str">
        <f t="shared" si="210"/>
        <v>VANDANA.TIWARI[AT]CORPORATE.COM</v>
      </c>
      <c r="CY73" t="str">
        <f t="shared" si="211"/>
        <v>Product-GRIP-072</v>
      </c>
      <c r="CZ73" t="str">
        <f t="shared" si="212"/>
        <v>prd_grip_072</v>
      </c>
      <c r="DA73" t="str">
        <f t="shared" si="213"/>
        <v>DEPARTMENT-TECH-072</v>
      </c>
      <c r="DB73" t="str">
        <f t="shared" si="214"/>
        <v>VANDANA.TIWARI@CORPORATE.in</v>
      </c>
      <c r="DC73" t="str">
        <f t="shared" si="215"/>
        <v>HTTPS://GRIPS.IN</v>
      </c>
      <c r="DD73" t="str">
        <f t="shared" si="216"/>
        <v>vandana/TIWARI//</v>
      </c>
      <c r="DE73" t="str">
        <f t="shared" si="217"/>
        <v>Corporate</v>
      </c>
      <c r="DF73" t="str">
        <f t="shared" si="218"/>
        <v>Ahmedabad; GUJARAT;380007</v>
      </c>
      <c r="DG73" t="str">
        <f t="shared" si="219"/>
        <v>CAMERA TECH</v>
      </c>
      <c r="DH73" t="str">
        <f t="shared" si="220"/>
        <v>+91-9988456789</v>
      </c>
      <c r="DI73" t="str">
        <f t="shared" si="221"/>
        <v xml:space="preserve">  GRIP world PRO  </v>
      </c>
      <c r="DJ73" t="str">
        <f t="shared" si="222"/>
        <v>https:://grips.in</v>
      </c>
      <c r="DK73" t="str">
        <f t="shared" si="223"/>
        <v>963  Paldi</v>
      </c>
      <c r="DL73" t="str">
        <f t="shared" si="224"/>
        <v>VANDANA.TIWARI</v>
      </c>
      <c r="DM73" t="str">
        <f t="shared" si="225"/>
        <v>vandana.TIWARI@  GRIP world PRO  .com</v>
      </c>
      <c r="DN73" t="str">
        <f t="shared" si="226"/>
        <v>vandana</v>
      </c>
      <c r="DO73" t="str">
        <f t="shared" si="227"/>
        <v>TIWARI</v>
      </c>
      <c r="DP73" t="str">
        <f t="shared" si="228"/>
        <v>TIWARI,vandana</v>
      </c>
      <c r="DQ73" t="str">
        <f t="shared" si="229"/>
        <v>Name has14characters</v>
      </c>
      <c r="DR73" t="str">
        <f t="shared" si="230"/>
        <v>Valid</v>
      </c>
      <c r="DS73" t="str">
        <f t="shared" si="231"/>
        <v>+91-</v>
      </c>
      <c r="DT73" t="str">
        <f t="shared" si="232"/>
        <v>Cus072</v>
      </c>
      <c r="DU73" t="str">
        <f t="shared" si="233"/>
        <v>vtiwari</v>
      </c>
      <c r="DV73" t="str">
        <f t="shared" si="234"/>
        <v>prd072</v>
      </c>
      <c r="DW73" t="str">
        <f t="shared" si="235"/>
        <v>+91-9988456789</v>
      </c>
      <c r="DX73" t="str">
        <f t="shared" si="236"/>
        <v>2025</v>
      </c>
      <c r="DY73" t="str">
        <f t="shared" si="237"/>
        <v>v</v>
      </c>
      <c r="DZ73" t="str">
        <f t="shared" si="238"/>
        <v>vandanaTIWARI@  GRIP world PRO  .com</v>
      </c>
      <c r="EA73" t="str">
        <f t="shared" si="239"/>
        <v/>
      </c>
      <c r="EB73" t="str">
        <f t="shared" si="240"/>
        <v>CORPORATE.COM</v>
      </c>
      <c r="EC73">
        <f t="shared" si="241"/>
        <v>24</v>
      </c>
      <c r="ED73" t="str">
        <f t="shared" si="242"/>
        <v>Ah72</v>
      </c>
      <c r="EE73" t="str">
        <f t="shared" si="243"/>
        <v>Ahmedabad- GUJARAT(380007)</v>
      </c>
      <c r="EF73" t="str">
        <f t="shared" si="244"/>
        <v>919988456789</v>
      </c>
      <c r="EG73" t="str">
        <f t="shared" si="245"/>
        <v>CUST-072</v>
      </c>
      <c r="EH73" t="str">
        <f t="shared" si="246"/>
        <v>public</v>
      </c>
      <c r="EI73" t="str">
        <f t="shared" si="247"/>
        <v>PRD-072-01Jun25</v>
      </c>
      <c r="EJ73" t="str">
        <f t="shared" si="248"/>
        <v>Corporate</v>
      </c>
    </row>
    <row r="74" spans="1:140" x14ac:dyDescent="0.3">
      <c r="A74" t="s">
        <v>953</v>
      </c>
      <c r="B74" t="s">
        <v>1543</v>
      </c>
      <c r="C74" t="s">
        <v>1485</v>
      </c>
      <c r="D74" t="s">
        <v>954</v>
      </c>
      <c r="E74" t="s">
        <v>955</v>
      </c>
      <c r="F74" t="s">
        <v>956</v>
      </c>
      <c r="G74" t="s">
        <v>957</v>
      </c>
      <c r="H74" t="s">
        <v>1681</v>
      </c>
      <c r="I74" t="s">
        <v>1629</v>
      </c>
      <c r="J74">
        <v>382015</v>
      </c>
      <c r="K74" t="str">
        <f t="shared" si="138"/>
        <v>gandhinagar, GUJARAT,382015</v>
      </c>
      <c r="L74" t="s">
        <v>958</v>
      </c>
      <c r="M74" t="s">
        <v>959</v>
      </c>
      <c r="N74" t="s">
        <v>960</v>
      </c>
      <c r="O74" t="s">
        <v>78</v>
      </c>
      <c r="P74" t="s">
        <v>961</v>
      </c>
      <c r="Q74" t="s">
        <v>962</v>
      </c>
      <c r="R74" t="s">
        <v>963</v>
      </c>
      <c r="S74" t="s">
        <v>964</v>
      </c>
      <c r="T74" t="s">
        <v>965</v>
      </c>
      <c r="U74" t="str">
        <f t="shared" si="129"/>
        <v>AKASH PILLAI</v>
      </c>
      <c r="V74" t="str">
        <f t="shared" si="130"/>
        <v>akash.pillai@mail.in</v>
      </c>
      <c r="W74" t="str">
        <f t="shared" si="139"/>
        <v>Gandhinagar</v>
      </c>
      <c r="X74" t="str">
        <f t="shared" si="131"/>
        <v>akash pillai</v>
      </c>
      <c r="Y74" t="str">
        <f t="shared" si="140"/>
        <v>RETAIL</v>
      </c>
      <c r="Z74" t="str">
        <f t="shared" si="141"/>
        <v>extension tubes india</v>
      </c>
      <c r="AA74" t="str">
        <f t="shared" si="142"/>
        <v>Macro Specialist</v>
      </c>
      <c r="AB74" t="str">
        <f t="shared" si="132"/>
        <v>159 Sector 15</v>
      </c>
      <c r="AC74" t="str">
        <f t="shared" si="143"/>
        <v>DEPT-MACRO-073</v>
      </c>
      <c r="AD74" t="str">
        <f t="shared" si="144"/>
        <v>Canon Extension Tube Set</v>
      </c>
      <c r="AE74" t="str">
        <f t="shared" si="145"/>
        <v>www.extensions.com</v>
      </c>
      <c r="AF74" t="str">
        <f t="shared" si="146"/>
        <v>Auto-focus compatible</v>
      </c>
      <c r="AG74" t="str">
        <f t="shared" si="133"/>
        <v>CUST073</v>
      </c>
      <c r="AH74" t="str">
        <f t="shared" si="147"/>
        <v>PRD-EXT-073</v>
      </c>
      <c r="AI74" t="str">
        <f t="shared" si="134"/>
        <v>Akash Pillai</v>
      </c>
      <c r="AJ74" t="str">
        <f t="shared" si="135"/>
        <v>(079) 2468-9753</v>
      </c>
      <c r="AK74" t="str">
        <f t="shared" si="148"/>
        <v>retail</v>
      </c>
      <c r="AL74" t="str">
        <f t="shared" si="149"/>
        <v>Extension Tubes India</v>
      </c>
      <c r="AM74" t="str">
        <f t="shared" si="136"/>
        <v>akash.pillai@mail.in</v>
      </c>
      <c r="AN74" t="str">
        <f t="shared" si="150"/>
        <v>MACRO SPECIALIST</v>
      </c>
      <c r="AO74" t="str">
        <f t="shared" si="137"/>
        <v>CUST073-akash pillai</v>
      </c>
      <c r="AP74" t="str">
        <f t="shared" si="151"/>
        <v>akash pillai</v>
      </c>
      <c r="AQ74" t="str">
        <f t="shared" si="152"/>
        <v>gandhinagar, GUJARAT</v>
      </c>
      <c r="AR74" t="str">
        <f t="shared" si="153"/>
        <v>prd-ext-073:CANON extension TUBE set</v>
      </c>
      <c r="AS74" t="str">
        <f t="shared" si="154"/>
        <v>akash.pillai@mail.in|(079) 2468-9753</v>
      </c>
      <c r="AT74" t="str">
        <f t="shared" si="155"/>
        <v>extension TUBES india-Macro Specialist</v>
      </c>
      <c r="AU74" t="str">
        <f t="shared" si="156"/>
        <v>retail 08-Jun-2025</v>
      </c>
      <c r="AV74" t="str">
        <f t="shared" si="157"/>
        <v>159 Sector 15,gandhinagar, GUJARAT,382015</v>
      </c>
      <c r="AW74" t="str">
        <f t="shared" si="158"/>
        <v>dept-macro-073_Macro Specialist</v>
      </c>
      <c r="AX74" t="str">
        <f t="shared" si="159"/>
        <v>Customer ID:CUST073</v>
      </c>
      <c r="AY74" t="str">
        <f t="shared" si="160"/>
        <v>Email:akash.pillai@mail.in</v>
      </c>
      <c r="AZ74" t="str">
        <f t="shared" si="161"/>
        <v>WWW.EXTENSIONS.COM/contact</v>
      </c>
      <c r="BA74" t="str">
        <f t="shared" si="162"/>
        <v>Order Placed On 08-Jun-2025</v>
      </c>
      <c r="BB74" t="str">
        <f t="shared" si="163"/>
        <v>akash pillai(retail)</v>
      </c>
      <c r="BC74" t="str">
        <f t="shared" si="164"/>
        <v>prd-ext-073/CANON extension TUBE set</v>
      </c>
      <c r="BD74" t="str">
        <f t="shared" si="165"/>
        <v>call (079) 2468-9753</v>
      </c>
      <c r="BE74" t="str">
        <f t="shared" si="166"/>
        <v>extension TUBES india-dept-macro-073</v>
      </c>
      <c r="BF74" t="str">
        <f t="shared" si="167"/>
        <v>CUST073-73</v>
      </c>
      <c r="BG74" t="str">
        <f t="shared" si="168"/>
        <v>Customer: akash pillai,Type: retail</v>
      </c>
      <c r="BH74" t="str">
        <f t="shared" si="169"/>
        <v>gandhinagar,india</v>
      </c>
      <c r="BI74" t="str">
        <f t="shared" si="170"/>
        <v>CUST</v>
      </c>
      <c r="BJ74" t="str">
        <f t="shared" si="171"/>
        <v>akash.pill</v>
      </c>
      <c r="BK74" t="str">
        <f t="shared" si="172"/>
        <v xml:space="preserve">akash </v>
      </c>
      <c r="BL74" t="str">
        <f t="shared" si="173"/>
        <v>prd-e</v>
      </c>
      <c r="BM74" t="str">
        <f t="shared" si="174"/>
        <v>ret</v>
      </c>
      <c r="BN74" t="str">
        <f t="shared" si="175"/>
        <v>(079) 24</v>
      </c>
      <c r="BO74" t="str">
        <f t="shared" si="176"/>
        <v>mail.in</v>
      </c>
      <c r="BP74" t="str">
        <f t="shared" si="177"/>
        <v>gandhinagar</v>
      </c>
      <c r="BQ74" t="str">
        <f t="shared" si="178"/>
        <v>T073</v>
      </c>
      <c r="BR74" t="str">
        <f t="shared" si="179"/>
        <v>illai</v>
      </c>
      <c r="BS74" t="str">
        <f t="shared" si="180"/>
        <v>xt-073</v>
      </c>
      <c r="BU74" t="str">
        <f t="shared" si="181"/>
        <v>-9753</v>
      </c>
      <c r="BV74" t="str">
        <f t="shared" si="182"/>
        <v>382015</v>
      </c>
      <c r="BW74" t="str">
        <f t="shared" si="183"/>
        <v xml:space="preserve"> GUJARAT</v>
      </c>
      <c r="BX74" t="str">
        <f t="shared" si="184"/>
        <v>073</v>
      </c>
      <c r="BY74" t="str">
        <f t="shared" si="185"/>
        <v>macro</v>
      </c>
      <c r="BZ74" t="str">
        <f t="shared" si="186"/>
        <v>ext</v>
      </c>
      <c r="CA74" t="str">
        <f t="shared" si="187"/>
        <v>Jun</v>
      </c>
      <c r="CB74" t="str">
        <f t="shared" si="188"/>
        <v>tensi</v>
      </c>
      <c r="CC74">
        <f t="shared" si="189"/>
        <v>13</v>
      </c>
      <c r="CD74">
        <f t="shared" si="190"/>
        <v>12</v>
      </c>
      <c r="CE74">
        <f t="shared" si="191"/>
        <v>20</v>
      </c>
      <c r="CF74">
        <f t="shared" si="192"/>
        <v>6</v>
      </c>
      <c r="CG74">
        <f t="shared" si="193"/>
        <v>24</v>
      </c>
      <c r="CH74">
        <f t="shared" si="194"/>
        <v>12</v>
      </c>
      <c r="CI74">
        <f t="shared" si="195"/>
        <v>7</v>
      </c>
      <c r="CJ74" t="str">
        <f t="shared" si="196"/>
        <v>Not found</v>
      </c>
      <c r="CK74">
        <f t="shared" si="197"/>
        <v>15</v>
      </c>
      <c r="CL74">
        <f t="shared" si="198"/>
        <v>4</v>
      </c>
      <c r="CM74">
        <f t="shared" si="199"/>
        <v>13</v>
      </c>
      <c r="CN74">
        <f t="shared" si="200"/>
        <v>6</v>
      </c>
      <c r="CO74">
        <f t="shared" si="201"/>
        <v>21</v>
      </c>
      <c r="CP74">
        <f t="shared" si="202"/>
        <v>8</v>
      </c>
      <c r="CQ74">
        <f t="shared" si="203"/>
        <v>14</v>
      </c>
      <c r="CR74" t="str">
        <f t="shared" si="204"/>
        <v>not found</v>
      </c>
      <c r="CS74">
        <f t="shared" si="205"/>
        <v>6</v>
      </c>
      <c r="CT74">
        <f t="shared" si="206"/>
        <v>8</v>
      </c>
      <c r="CU74">
        <f t="shared" si="207"/>
        <v>25</v>
      </c>
      <c r="CV74">
        <f t="shared" si="208"/>
        <v>3</v>
      </c>
      <c r="CW74" t="str">
        <f t="shared" si="209"/>
        <v>Customer ID073</v>
      </c>
      <c r="CX74" t="str">
        <f t="shared" si="210"/>
        <v>akash.pillai[AT]mail.in</v>
      </c>
      <c r="CY74" t="str">
        <f t="shared" si="211"/>
        <v>Product-EXT-073</v>
      </c>
      <c r="CZ74" t="str">
        <f t="shared" si="212"/>
        <v>prd_ext_073</v>
      </c>
      <c r="DA74" t="str">
        <f t="shared" si="213"/>
        <v>DEPARTMENT-MACRO-073</v>
      </c>
      <c r="DB74" t="str">
        <f t="shared" si="214"/>
        <v>AKASH.PILLAI@MAIL.IN</v>
      </c>
      <c r="DC74" t="str">
        <f t="shared" si="215"/>
        <v>https://www..EXTENSIONS.COM</v>
      </c>
      <c r="DD74" t="str">
        <f t="shared" si="216"/>
        <v>akash/pillai</v>
      </c>
      <c r="DE74" t="str">
        <f t="shared" si="217"/>
        <v>RETAIL CUSTOMER</v>
      </c>
      <c r="DF74" t="str">
        <f t="shared" si="218"/>
        <v>gandhinagar; GUJARAT;382015</v>
      </c>
      <c r="DG74" t="str">
        <f t="shared" si="219"/>
        <v>Macro Specialist</v>
      </c>
      <c r="DH74" t="str">
        <f t="shared" si="220"/>
        <v xml:space="preserve"> 079  2468-9753</v>
      </c>
      <c r="DI74" t="str">
        <f t="shared" si="221"/>
        <v>extension TUBES india</v>
      </c>
      <c r="DJ74" t="str">
        <f t="shared" si="222"/>
        <v>WWW.EXTENSIONS.COM</v>
      </c>
      <c r="DK74" t="str">
        <f t="shared" si="223"/>
        <v>159  Sector  15</v>
      </c>
      <c r="DL74" t="str">
        <f t="shared" si="224"/>
        <v>akash.pillai</v>
      </c>
      <c r="DM74" t="str">
        <f t="shared" si="225"/>
        <v>akash.pillai@extension TUBES india.com</v>
      </c>
      <c r="DN74" t="str">
        <f t="shared" si="226"/>
        <v>akash</v>
      </c>
      <c r="DO74" t="str">
        <f t="shared" si="227"/>
        <v>pillai</v>
      </c>
      <c r="DP74" t="str">
        <f t="shared" si="228"/>
        <v>pillai,akash</v>
      </c>
      <c r="DQ74" t="str">
        <f t="shared" si="229"/>
        <v>Name has12characters</v>
      </c>
      <c r="DR74" t="str">
        <f t="shared" si="230"/>
        <v>Check Domain</v>
      </c>
      <c r="DS74" t="str">
        <f t="shared" si="231"/>
        <v>(079</v>
      </c>
      <c r="DT74" t="str">
        <f t="shared" si="232"/>
        <v>CUS073</v>
      </c>
      <c r="DU74" t="str">
        <f t="shared" si="233"/>
        <v>apillai</v>
      </c>
      <c r="DV74" t="str">
        <f t="shared" si="234"/>
        <v>prd073</v>
      </c>
      <c r="DW74" t="str">
        <f t="shared" si="235"/>
        <v>(079) 2468-9753</v>
      </c>
      <c r="DX74" t="str">
        <f t="shared" si="236"/>
        <v>2025</v>
      </c>
      <c r="DY74" t="str">
        <f t="shared" si="237"/>
        <v>a</v>
      </c>
      <c r="DZ74" t="str">
        <f t="shared" si="238"/>
        <v>akashpillai@extension TUBES india.com</v>
      </c>
      <c r="EA74" t="str">
        <f t="shared" si="239"/>
        <v>Retail</v>
      </c>
      <c r="EB74" t="str">
        <f t="shared" si="240"/>
        <v>mail.in</v>
      </c>
      <c r="EC74">
        <f t="shared" si="241"/>
        <v>24</v>
      </c>
      <c r="ED74" t="str">
        <f t="shared" si="242"/>
        <v>ga73</v>
      </c>
      <c r="EE74" t="str">
        <f t="shared" si="243"/>
        <v>gandhinagar- GUJARAT(382015)</v>
      </c>
      <c r="EF74" t="str">
        <f t="shared" si="244"/>
        <v>07924689753</v>
      </c>
      <c r="EG74" t="str">
        <f t="shared" si="245"/>
        <v>CUST-073</v>
      </c>
      <c r="EH74" t="str">
        <f t="shared" si="246"/>
        <v>public</v>
      </c>
      <c r="EI74" t="str">
        <f t="shared" si="247"/>
        <v>PRD-073-08Jun25</v>
      </c>
      <c r="EJ74" t="str">
        <f t="shared" si="248"/>
        <v>Retail</v>
      </c>
    </row>
    <row r="75" spans="1:140" x14ac:dyDescent="0.3">
      <c r="A75" t="s">
        <v>966</v>
      </c>
      <c r="B75" t="s">
        <v>1544</v>
      </c>
      <c r="C75" t="s">
        <v>1487</v>
      </c>
      <c r="D75" t="s">
        <v>967</v>
      </c>
      <c r="E75" t="s">
        <v>968</v>
      </c>
      <c r="F75" t="s">
        <v>969</v>
      </c>
      <c r="G75" t="s">
        <v>970</v>
      </c>
      <c r="H75" t="s">
        <v>1682</v>
      </c>
      <c r="I75" t="s">
        <v>1594</v>
      </c>
      <c r="J75">
        <v>362001</v>
      </c>
      <c r="K75" t="str">
        <f t="shared" si="138"/>
        <v>JUNAGADH, Gujarat,362001</v>
      </c>
      <c r="L75" t="s">
        <v>971</v>
      </c>
      <c r="M75" t="s">
        <v>972</v>
      </c>
      <c r="N75" t="s">
        <v>973</v>
      </c>
      <c r="O75" t="s">
        <v>36</v>
      </c>
      <c r="P75" t="s">
        <v>974</v>
      </c>
      <c r="Q75" t="s">
        <v>975</v>
      </c>
      <c r="R75" t="s">
        <v>976</v>
      </c>
      <c r="S75" t="s">
        <v>977</v>
      </c>
      <c r="T75" t="s">
        <v>978</v>
      </c>
      <c r="U75" t="str">
        <f t="shared" si="129"/>
        <v xml:space="preserve">  RUPA REDDY</v>
      </c>
      <c r="V75" t="str">
        <f t="shared" si="130"/>
        <v>rupa_reddy@email.in</v>
      </c>
      <c r="W75" t="str">
        <f t="shared" si="139"/>
        <v>Junagadh</v>
      </c>
      <c r="X75" t="str">
        <f t="shared" si="131"/>
        <v>RUPA reddy</v>
      </c>
      <c r="Y75" t="str">
        <f t="shared" si="140"/>
        <v>WHOLESALE</v>
      </c>
      <c r="Z75" t="str">
        <f t="shared" si="141"/>
        <v>converter store india</v>
      </c>
      <c r="AA75" t="str">
        <f t="shared" si="142"/>
        <v>Landscape Photographer</v>
      </c>
      <c r="AB75" t="str">
        <f t="shared" si="132"/>
        <v>357 Kalwa Chowk</v>
      </c>
      <c r="AC75" t="str">
        <f t="shared" si="143"/>
        <v>DEPT-PHOTO-074</v>
      </c>
      <c r="AD75" t="str">
        <f t="shared" si="144"/>
        <v>Canon Wide Angle Converter</v>
      </c>
      <c r="AE75" t="str">
        <f t="shared" si="145"/>
        <v>www.converters.in</v>
      </c>
      <c r="AF75" t="str">
        <f t="shared" si="146"/>
        <v>0.7x magnification</v>
      </c>
      <c r="AG75" t="str">
        <f t="shared" si="133"/>
        <v>CUST074</v>
      </c>
      <c r="AH75" t="str">
        <f t="shared" si="147"/>
        <v>PRD-CONV-074</v>
      </c>
      <c r="AI75" t="str">
        <f t="shared" si="134"/>
        <v xml:space="preserve">  Rupa Reddy</v>
      </c>
      <c r="AJ75" t="str">
        <f t="shared" si="135"/>
        <v>0285-3698521</v>
      </c>
      <c r="AK75" t="str">
        <f t="shared" si="148"/>
        <v>wholesale</v>
      </c>
      <c r="AL75" t="str">
        <f t="shared" si="149"/>
        <v>Converter Store India</v>
      </c>
      <c r="AM75" t="str">
        <f t="shared" si="136"/>
        <v>rupa_reddy@email.in</v>
      </c>
      <c r="AN75" t="str">
        <f t="shared" si="150"/>
        <v>LANDSCAPE PHOTOGRAPHER</v>
      </c>
      <c r="AO75" t="str">
        <f t="shared" si="137"/>
        <v>cust074-  RUPA reddy</v>
      </c>
      <c r="AP75" t="str">
        <f t="shared" si="151"/>
        <v>RUPA reddy</v>
      </c>
      <c r="AQ75" t="str">
        <f t="shared" si="152"/>
        <v>JUNAGADH, Gujarat</v>
      </c>
      <c r="AR75" t="str">
        <f t="shared" si="153"/>
        <v>PRD-CONV-074:CANON wide ANGLE converter</v>
      </c>
      <c r="AS75" t="str">
        <f t="shared" si="154"/>
        <v>rupa_reddy@email.in|0285-3698521</v>
      </c>
      <c r="AT75" t="str">
        <f t="shared" si="155"/>
        <v>CONVERTER store INDIA-Landscape Photographer</v>
      </c>
      <c r="AU75" t="str">
        <f t="shared" si="156"/>
        <v>wholesale 15-Jun-2025</v>
      </c>
      <c r="AV75" t="str">
        <f t="shared" si="157"/>
        <v xml:space="preserve">  357 Kalwa Chowk  ,JUNAGADH, Gujarat,362001</v>
      </c>
      <c r="AW75" t="str">
        <f t="shared" si="158"/>
        <v>DEPT-PHOTO-074_Landscape Photographer</v>
      </c>
      <c r="AX75" t="str">
        <f t="shared" si="159"/>
        <v>Customer ID:cust074</v>
      </c>
      <c r="AY75" t="str">
        <f t="shared" si="160"/>
        <v>Email:rupa_reddy@email.in</v>
      </c>
      <c r="AZ75" t="str">
        <f t="shared" si="161"/>
        <v>www.converters.in/contact</v>
      </c>
      <c r="BA75" t="str">
        <f t="shared" si="162"/>
        <v>Order Placed On 15-Jun-2025</v>
      </c>
      <c r="BB75" t="str">
        <f t="shared" si="163"/>
        <v xml:space="preserve">  RUPA reddy(wholesale)</v>
      </c>
      <c r="BC75" t="str">
        <f t="shared" si="164"/>
        <v>PRD-CONV-074/CANON wide ANGLE converter</v>
      </c>
      <c r="BD75" t="str">
        <f t="shared" si="165"/>
        <v>call 0285-3698521</v>
      </c>
      <c r="BE75" t="str">
        <f t="shared" si="166"/>
        <v>CONVERTER store INDIA-DEPT-PHOTO-074</v>
      </c>
      <c r="BF75" t="str">
        <f t="shared" si="167"/>
        <v>cust074-74</v>
      </c>
      <c r="BG75" t="str">
        <f t="shared" si="168"/>
        <v>Customer:   RUPA reddy,Type: wholesale</v>
      </c>
      <c r="BH75" t="str">
        <f t="shared" si="169"/>
        <v>JUNAGADH,india</v>
      </c>
      <c r="BI75" t="str">
        <f t="shared" si="170"/>
        <v>cust</v>
      </c>
      <c r="BJ75" t="str">
        <f t="shared" si="171"/>
        <v>rupa_reddy</v>
      </c>
      <c r="BK75" t="str">
        <f t="shared" si="172"/>
        <v xml:space="preserve">RUPA </v>
      </c>
      <c r="BL75" t="str">
        <f t="shared" si="173"/>
        <v>PRD-C</v>
      </c>
      <c r="BM75" t="str">
        <f t="shared" si="174"/>
        <v>who</v>
      </c>
      <c r="BN75" t="str">
        <f t="shared" si="175"/>
        <v>0285-369</v>
      </c>
      <c r="BO75" t="str">
        <f t="shared" si="176"/>
        <v>email.in</v>
      </c>
      <c r="BP75" t="str">
        <f t="shared" si="177"/>
        <v>JUNAGADH</v>
      </c>
      <c r="BQ75" t="str">
        <f t="shared" si="178"/>
        <v>t074</v>
      </c>
      <c r="BR75" t="str">
        <f t="shared" si="179"/>
        <v>eddy</v>
      </c>
      <c r="BS75" t="str">
        <f t="shared" si="180"/>
        <v>NV-074</v>
      </c>
      <c r="BU75" t="str">
        <f t="shared" si="181"/>
        <v>98521</v>
      </c>
      <c r="BV75" t="str">
        <f t="shared" si="182"/>
        <v>362001</v>
      </c>
      <c r="BW75" t="str">
        <f t="shared" si="183"/>
        <v xml:space="preserve"> Gujarat</v>
      </c>
      <c r="BX75" t="str">
        <f t="shared" si="184"/>
        <v>074</v>
      </c>
      <c r="BY75" t="str">
        <f t="shared" si="185"/>
        <v>PHOTO</v>
      </c>
      <c r="BZ75" t="str">
        <f t="shared" si="186"/>
        <v>CONV</v>
      </c>
      <c r="CA75" t="str">
        <f t="shared" si="187"/>
        <v>Jun</v>
      </c>
      <c r="CB75" t="str">
        <f t="shared" si="188"/>
        <v>NVERT</v>
      </c>
      <c r="CC75">
        <f t="shared" si="189"/>
        <v>11</v>
      </c>
      <c r="CD75">
        <f t="shared" si="190"/>
        <v>12</v>
      </c>
      <c r="CE75">
        <f t="shared" si="191"/>
        <v>19</v>
      </c>
      <c r="CF75">
        <f t="shared" si="192"/>
        <v>1</v>
      </c>
      <c r="CG75">
        <f t="shared" si="193"/>
        <v>26</v>
      </c>
      <c r="CH75">
        <f t="shared" si="194"/>
        <v>9</v>
      </c>
      <c r="CI75">
        <f t="shared" si="195"/>
        <v>7</v>
      </c>
      <c r="CJ75">
        <f t="shared" si="196"/>
        <v>1</v>
      </c>
      <c r="CK75">
        <f t="shared" si="197"/>
        <v>12</v>
      </c>
      <c r="CL75">
        <f t="shared" si="198"/>
        <v>4</v>
      </c>
      <c r="CM75">
        <f t="shared" si="199"/>
        <v>19</v>
      </c>
      <c r="CN75">
        <f t="shared" si="200"/>
        <v>17</v>
      </c>
      <c r="CO75">
        <f t="shared" si="201"/>
        <v>21</v>
      </c>
      <c r="CP75">
        <f t="shared" si="202"/>
        <v>9</v>
      </c>
      <c r="CQ75">
        <f t="shared" si="203"/>
        <v>14</v>
      </c>
      <c r="CR75" t="str">
        <f t="shared" si="204"/>
        <v>not found</v>
      </c>
      <c r="CS75">
        <f t="shared" si="205"/>
        <v>9</v>
      </c>
      <c r="CT75">
        <f t="shared" si="206"/>
        <v>9</v>
      </c>
      <c r="CU75">
        <f t="shared" si="207"/>
        <v>18</v>
      </c>
      <c r="CV75">
        <f t="shared" si="208"/>
        <v>3</v>
      </c>
      <c r="CW75" t="str">
        <f t="shared" si="209"/>
        <v>Customer ID074</v>
      </c>
      <c r="CX75" t="str">
        <f t="shared" si="210"/>
        <v>rupa_reddy[AT]email.in</v>
      </c>
      <c r="CY75" t="str">
        <f t="shared" si="211"/>
        <v>Product-CONV-074</v>
      </c>
      <c r="CZ75" t="str">
        <f t="shared" si="212"/>
        <v>PRD_CONV_074</v>
      </c>
      <c r="DA75" t="str">
        <f t="shared" si="213"/>
        <v>DEPARTMENT-PHOTO-074</v>
      </c>
      <c r="DB75" t="str">
        <f t="shared" si="214"/>
        <v>RUPA_REDDY@EMAIL.IN</v>
      </c>
      <c r="DC75" t="str">
        <f t="shared" si="215"/>
        <v>https://www..CONVERTERS.IN</v>
      </c>
      <c r="DD75" t="str">
        <f t="shared" si="216"/>
        <v>//RUPA/reddy</v>
      </c>
      <c r="DE75" t="str">
        <f t="shared" si="217"/>
        <v>wholesale</v>
      </c>
      <c r="DF75" t="str">
        <f t="shared" si="218"/>
        <v>JUNAGADH; Gujarat;362001</v>
      </c>
      <c r="DG75" t="str">
        <f t="shared" si="219"/>
        <v>Landscape Photographer</v>
      </c>
      <c r="DH75" t="str">
        <f t="shared" si="220"/>
        <v>0285-3698521</v>
      </c>
      <c r="DI75" t="str">
        <f t="shared" si="221"/>
        <v>CONVERTER store INDIA</v>
      </c>
      <c r="DJ75" t="str">
        <f t="shared" si="222"/>
        <v>www.converters.in</v>
      </c>
      <c r="DK75" t="str">
        <f t="shared" si="223"/>
        <v xml:space="preserve">    357  Kalwa  Chowk    </v>
      </c>
      <c r="DL75" t="str">
        <f t="shared" si="224"/>
        <v>rupa_reddy</v>
      </c>
      <c r="DM75" t="str">
        <f t="shared" si="225"/>
        <v>RUPA.reddy@CONVERTER store INDIA.com</v>
      </c>
      <c r="DN75" t="str">
        <f t="shared" si="226"/>
        <v>RUPA</v>
      </c>
      <c r="DO75" t="str">
        <f t="shared" si="227"/>
        <v>reddy</v>
      </c>
      <c r="DP75" t="str">
        <f t="shared" si="228"/>
        <v>reddy,RUPA</v>
      </c>
      <c r="DQ75" t="str">
        <f t="shared" si="229"/>
        <v>Name has10characters</v>
      </c>
      <c r="DR75" t="str">
        <f t="shared" si="230"/>
        <v>Check Domain</v>
      </c>
      <c r="DS75" t="str">
        <f t="shared" si="231"/>
        <v>0285</v>
      </c>
      <c r="DT75" t="str">
        <f t="shared" si="232"/>
        <v>cus074</v>
      </c>
      <c r="DU75" t="str">
        <f t="shared" si="233"/>
        <v>Rreddy</v>
      </c>
      <c r="DV75" t="str">
        <f t="shared" si="234"/>
        <v>PRD074</v>
      </c>
      <c r="DW75" t="str">
        <f t="shared" si="235"/>
        <v>0285-3698521</v>
      </c>
      <c r="DX75" t="str">
        <f t="shared" si="236"/>
        <v>2025</v>
      </c>
      <c r="DY75" t="str">
        <f t="shared" si="237"/>
        <v>R</v>
      </c>
      <c r="DZ75" t="str">
        <f t="shared" si="238"/>
        <v>RUPAreddy@CONVERTER store INDIA.com</v>
      </c>
      <c r="EA75" t="str">
        <f t="shared" si="239"/>
        <v>Wholesale</v>
      </c>
      <c r="EB75" t="str">
        <f t="shared" si="240"/>
        <v>email.in</v>
      </c>
      <c r="EC75">
        <f t="shared" si="241"/>
        <v>26</v>
      </c>
      <c r="ED75" t="str">
        <f t="shared" si="242"/>
        <v>JU74</v>
      </c>
      <c r="EE75" t="str">
        <f t="shared" si="243"/>
        <v>JUNAGADH- Gujarat(362001)</v>
      </c>
      <c r="EF75" t="str">
        <f t="shared" si="244"/>
        <v>02853698521</v>
      </c>
      <c r="EG75" t="str">
        <f t="shared" si="245"/>
        <v>CUST-074</v>
      </c>
      <c r="EH75" t="str">
        <f t="shared" si="246"/>
        <v>public</v>
      </c>
      <c r="EI75" t="str">
        <f t="shared" si="247"/>
        <v>PRD-074-15Jun25</v>
      </c>
      <c r="EJ75" t="str">
        <f t="shared" si="248"/>
        <v>Wholesale</v>
      </c>
    </row>
    <row r="76" spans="1:140" x14ac:dyDescent="0.3">
      <c r="A76" t="s">
        <v>979</v>
      </c>
      <c r="B76" t="s">
        <v>1545</v>
      </c>
      <c r="C76" t="s">
        <v>1438</v>
      </c>
      <c r="D76" t="s">
        <v>980</v>
      </c>
      <c r="E76" t="s">
        <v>981</v>
      </c>
      <c r="F76" t="s">
        <v>982</v>
      </c>
      <c r="G76" t="s">
        <v>983</v>
      </c>
      <c r="H76" t="s">
        <v>1683</v>
      </c>
      <c r="I76" t="s">
        <v>1629</v>
      </c>
      <c r="J76">
        <v>364001</v>
      </c>
      <c r="K76" t="str">
        <f t="shared" si="138"/>
        <v>Bhavnagar, GUJARAT,364001</v>
      </c>
      <c r="L76" t="s">
        <v>984</v>
      </c>
      <c r="M76" t="s">
        <v>985</v>
      </c>
      <c r="N76" t="s">
        <v>986</v>
      </c>
      <c r="O76" t="s">
        <v>132</v>
      </c>
      <c r="P76" t="s">
        <v>987</v>
      </c>
      <c r="Q76" t="s">
        <v>988</v>
      </c>
      <c r="R76" t="s">
        <v>989</v>
      </c>
      <c r="S76" t="s">
        <v>990</v>
      </c>
      <c r="T76" t="s">
        <v>991</v>
      </c>
      <c r="U76" t="str">
        <f t="shared" si="129"/>
        <v xml:space="preserve">HEMANT DESAI  </v>
      </c>
      <c r="V76" t="str">
        <f t="shared" si="130"/>
        <v>hemant.desai@company.in</v>
      </c>
      <c r="W76" t="str">
        <f t="shared" si="139"/>
        <v>Bhavnagar</v>
      </c>
      <c r="X76" t="str">
        <f t="shared" si="131"/>
        <v>hemant DESAI</v>
      </c>
      <c r="Y76" t="str">
        <f t="shared" si="140"/>
        <v>CORPORATE</v>
      </c>
      <c r="Z76" t="str">
        <f t="shared" si="141"/>
        <v xml:space="preserve">  lens hood solutions  </v>
      </c>
      <c r="AA76" t="str">
        <f t="shared" si="142"/>
        <v>Optics Manager</v>
      </c>
      <c r="AB76" t="str">
        <f t="shared" si="132"/>
        <v>753 Waghawadi Road</v>
      </c>
      <c r="AC76" t="str">
        <f t="shared" si="143"/>
        <v>DEPT-OPTICS-075</v>
      </c>
      <c r="AD76" t="str">
        <f t="shared" si="144"/>
        <v>Canon Lens Hood Ew-73B</v>
      </c>
      <c r="AE76" t="str">
        <f t="shared" si="145"/>
        <v>https://hoods.in</v>
      </c>
      <c r="AF76" t="str">
        <f t="shared" si="146"/>
        <v>Bayonet mount type</v>
      </c>
      <c r="AG76" t="str">
        <f t="shared" si="133"/>
        <v>CUST075</v>
      </c>
      <c r="AH76" t="str">
        <f t="shared" si="147"/>
        <v>PRD-HOOD-075</v>
      </c>
      <c r="AI76" t="str">
        <f t="shared" si="134"/>
        <v xml:space="preserve">Hemant Desai  </v>
      </c>
      <c r="AJ76" t="str">
        <f t="shared" si="135"/>
        <v>+91-9876567890</v>
      </c>
      <c r="AK76" t="str">
        <f t="shared" si="148"/>
        <v>corporate</v>
      </c>
      <c r="AL76" t="str">
        <f t="shared" si="149"/>
        <v>Lens Hood Solutions</v>
      </c>
      <c r="AM76" t="str">
        <f t="shared" si="136"/>
        <v>hemant.desai@company.in</v>
      </c>
      <c r="AN76" t="str">
        <f t="shared" si="150"/>
        <v>OPTICS MANAGER</v>
      </c>
      <c r="AO76" t="str">
        <f t="shared" si="137"/>
        <v xml:space="preserve">Cust075-hemant DESAI  </v>
      </c>
      <c r="AP76" t="str">
        <f t="shared" si="151"/>
        <v>hemant DESAI</v>
      </c>
      <c r="AQ76" t="str">
        <f t="shared" si="152"/>
        <v>Bhavnagar, GUJARAT</v>
      </c>
      <c r="AR76" t="str">
        <f t="shared" si="153"/>
        <v>prd-hood-075:CANON lens HOOD ew-73b</v>
      </c>
      <c r="AS76" t="str">
        <f t="shared" si="154"/>
        <v>HEMANT.DESAI@COMPANY.IN|+91-9876567890</v>
      </c>
      <c r="AT76" t="str">
        <f t="shared" si="155"/>
        <v xml:space="preserve">  LENS hood solutions  -OPTICS MANAGER</v>
      </c>
      <c r="AU76" t="str">
        <f t="shared" si="156"/>
        <v>Corporate 22-Jun-2025</v>
      </c>
      <c r="AV76" t="str">
        <f t="shared" si="157"/>
        <v>753 Waghawadi Road,Bhavnagar, GUJARAT,364001</v>
      </c>
      <c r="AW76" t="str">
        <f t="shared" si="158"/>
        <v>dept-optics-075_OPTICS MANAGER</v>
      </c>
      <c r="AX76" t="str">
        <f t="shared" si="159"/>
        <v>Customer ID:Cust075</v>
      </c>
      <c r="AY76" t="str">
        <f t="shared" si="160"/>
        <v>Email:HEMANT.DESAI@COMPANY.IN</v>
      </c>
      <c r="AZ76" t="str">
        <f t="shared" si="161"/>
        <v>https://hoods.in/contact</v>
      </c>
      <c r="BA76" t="str">
        <f t="shared" si="162"/>
        <v>Order Placed On 22-Jun-2025</v>
      </c>
      <c r="BB76" t="str">
        <f t="shared" si="163"/>
        <v>hemant DESAI  (Corporate)</v>
      </c>
      <c r="BC76" t="str">
        <f t="shared" si="164"/>
        <v>prd-hood-075/CANON lens HOOD ew-73b</v>
      </c>
      <c r="BD76" t="str">
        <f t="shared" si="165"/>
        <v>call +91-9876567890</v>
      </c>
      <c r="BE76" t="str">
        <f t="shared" si="166"/>
        <v xml:space="preserve">  LENS hood solutions  -dept-optics-075</v>
      </c>
      <c r="BF76" t="str">
        <f t="shared" si="167"/>
        <v>Cust075-75</v>
      </c>
      <c r="BG76" t="str">
        <f t="shared" si="168"/>
        <v>Customer: hemant DESAI  ,Type: Corporate</v>
      </c>
      <c r="BH76" t="str">
        <f t="shared" si="169"/>
        <v>Bhavnagar,india</v>
      </c>
      <c r="BI76" t="str">
        <f t="shared" si="170"/>
        <v>Cust</v>
      </c>
      <c r="BJ76" t="str">
        <f t="shared" si="171"/>
        <v>HEMANT.DES</v>
      </c>
      <c r="BK76" t="str">
        <f t="shared" si="172"/>
        <v xml:space="preserve">hemant </v>
      </c>
      <c r="BL76" t="str">
        <f t="shared" si="173"/>
        <v>prd-h</v>
      </c>
      <c r="BM76" t="str">
        <f t="shared" si="174"/>
        <v>Cor</v>
      </c>
      <c r="BN76" t="str">
        <f t="shared" si="175"/>
        <v>+91-9876</v>
      </c>
      <c r="BO76" t="str">
        <f t="shared" si="176"/>
        <v>COMPANY.IN</v>
      </c>
      <c r="BP76" t="str">
        <f t="shared" si="177"/>
        <v>Bhavnagar</v>
      </c>
      <c r="BQ76" t="str">
        <f t="shared" si="178"/>
        <v>t075</v>
      </c>
      <c r="BR76" t="str">
        <f t="shared" si="179"/>
        <v xml:space="preserve"> DESAI</v>
      </c>
      <c r="BS76" t="str">
        <f t="shared" si="180"/>
        <v>od-075</v>
      </c>
      <c r="BU76" t="str">
        <f t="shared" si="181"/>
        <v>67890</v>
      </c>
      <c r="BV76" t="str">
        <f t="shared" si="182"/>
        <v>364001</v>
      </c>
      <c r="BW76" t="str">
        <f t="shared" si="183"/>
        <v xml:space="preserve"> GUJARAT</v>
      </c>
      <c r="BX76" t="str">
        <f t="shared" si="184"/>
        <v>075</v>
      </c>
      <c r="BY76" t="str">
        <f t="shared" si="185"/>
        <v>optics</v>
      </c>
      <c r="BZ76" t="str">
        <f t="shared" si="186"/>
        <v>hood</v>
      </c>
      <c r="CA76" t="str">
        <f t="shared" si="187"/>
        <v>Jun</v>
      </c>
      <c r="CB76" t="str">
        <f t="shared" si="188"/>
        <v xml:space="preserve">LENS </v>
      </c>
      <c r="CC76">
        <f t="shared" si="189"/>
        <v>13</v>
      </c>
      <c r="CD76">
        <f t="shared" si="190"/>
        <v>14</v>
      </c>
      <c r="CE76">
        <f t="shared" si="191"/>
        <v>23</v>
      </c>
      <c r="CF76">
        <f t="shared" si="192"/>
        <v>7</v>
      </c>
      <c r="CG76">
        <f t="shared" si="193"/>
        <v>22</v>
      </c>
      <c r="CH76">
        <f t="shared" si="194"/>
        <v>10</v>
      </c>
      <c r="CI76">
        <f t="shared" si="195"/>
        <v>7</v>
      </c>
      <c r="CJ76" t="str">
        <f t="shared" si="196"/>
        <v>Not found</v>
      </c>
      <c r="CK76">
        <f t="shared" si="197"/>
        <v>14</v>
      </c>
      <c r="CL76">
        <f t="shared" si="198"/>
        <v>4</v>
      </c>
      <c r="CM76">
        <f t="shared" si="199"/>
        <v>18</v>
      </c>
      <c r="CN76">
        <f t="shared" si="200"/>
        <v>7</v>
      </c>
      <c r="CO76">
        <f t="shared" si="201"/>
        <v>19</v>
      </c>
      <c r="CP76">
        <f t="shared" si="202"/>
        <v>9</v>
      </c>
      <c r="CQ76">
        <f t="shared" si="203"/>
        <v>15</v>
      </c>
      <c r="CR76">
        <f t="shared" si="204"/>
        <v>7</v>
      </c>
      <c r="CS76">
        <f t="shared" si="205"/>
        <v>9</v>
      </c>
      <c r="CT76">
        <f t="shared" si="206"/>
        <v>9</v>
      </c>
      <c r="CU76">
        <f t="shared" si="207"/>
        <v>18</v>
      </c>
      <c r="CV76">
        <f t="shared" si="208"/>
        <v>3</v>
      </c>
      <c r="CW76" t="str">
        <f t="shared" si="209"/>
        <v>Customer ID075</v>
      </c>
      <c r="CX76" t="str">
        <f t="shared" si="210"/>
        <v>HEMANT.DESAI[AT]COMPANY.IN</v>
      </c>
      <c r="CY76" t="str">
        <f t="shared" si="211"/>
        <v>Product-HOOD-075</v>
      </c>
      <c r="CZ76" t="str">
        <f t="shared" si="212"/>
        <v>prd_hood_075</v>
      </c>
      <c r="DA76" t="str">
        <f t="shared" si="213"/>
        <v>DEPARTMENT-OPTICS-075</v>
      </c>
      <c r="DB76" t="str">
        <f t="shared" si="214"/>
        <v>HEMANT.DESAI@COMPANY.IN</v>
      </c>
      <c r="DC76" t="str">
        <f t="shared" si="215"/>
        <v>HTTPS://HOODS.IN</v>
      </c>
      <c r="DD76" t="str">
        <f t="shared" si="216"/>
        <v>hemant/DESAI//</v>
      </c>
      <c r="DE76" t="str">
        <f t="shared" si="217"/>
        <v>Corporate</v>
      </c>
      <c r="DF76" t="str">
        <f t="shared" si="218"/>
        <v>Bhavnagar; GUJARAT;364001</v>
      </c>
      <c r="DG76" t="str">
        <f t="shared" si="219"/>
        <v>OPTICS MANAGER</v>
      </c>
      <c r="DH76" t="str">
        <f t="shared" si="220"/>
        <v>+91-9876567890</v>
      </c>
      <c r="DI76" t="str">
        <f t="shared" si="221"/>
        <v xml:space="preserve">  LENS hood solutions  </v>
      </c>
      <c r="DJ76" t="str">
        <f t="shared" si="222"/>
        <v>https:://hoods.in</v>
      </c>
      <c r="DK76" t="str">
        <f t="shared" si="223"/>
        <v>753  Waghawadi  Road</v>
      </c>
      <c r="DL76" t="str">
        <f t="shared" si="224"/>
        <v>HEMANT.DESAI</v>
      </c>
      <c r="DM76" t="str">
        <f t="shared" si="225"/>
        <v>hemant.DESAI@  LENS hood solutions  .com</v>
      </c>
      <c r="DN76" t="str">
        <f t="shared" si="226"/>
        <v>hemant</v>
      </c>
      <c r="DO76" t="str">
        <f t="shared" si="227"/>
        <v>DESAI</v>
      </c>
      <c r="DP76" t="str">
        <f t="shared" si="228"/>
        <v>DESAI,hemant</v>
      </c>
      <c r="DQ76" t="str">
        <f t="shared" si="229"/>
        <v>Name has12characters</v>
      </c>
      <c r="DR76" t="str">
        <f t="shared" si="230"/>
        <v>Check Domain</v>
      </c>
      <c r="DS76" t="str">
        <f t="shared" si="231"/>
        <v>+91-</v>
      </c>
      <c r="DT76" t="str">
        <f t="shared" si="232"/>
        <v>Cus075</v>
      </c>
      <c r="DU76" t="str">
        <f t="shared" si="233"/>
        <v>hdesai</v>
      </c>
      <c r="DV76" t="str">
        <f t="shared" si="234"/>
        <v>prd075</v>
      </c>
      <c r="DW76" t="str">
        <f t="shared" si="235"/>
        <v>+91-9876567890</v>
      </c>
      <c r="DX76" t="str">
        <f t="shared" si="236"/>
        <v>2025</v>
      </c>
      <c r="DY76" t="str">
        <f t="shared" si="237"/>
        <v>h</v>
      </c>
      <c r="DZ76" t="str">
        <f t="shared" si="238"/>
        <v>hemantDESAI@  LENS hood solutions  .com</v>
      </c>
      <c r="EA76" t="str">
        <f t="shared" si="239"/>
        <v/>
      </c>
      <c r="EB76" t="str">
        <f t="shared" si="240"/>
        <v>COMPANY.IN</v>
      </c>
      <c r="EC76">
        <f t="shared" si="241"/>
        <v>22</v>
      </c>
      <c r="ED76" t="str">
        <f t="shared" si="242"/>
        <v>Bh75</v>
      </c>
      <c r="EE76" t="str">
        <f t="shared" si="243"/>
        <v>Bhavnagar- GUJARAT(364001)</v>
      </c>
      <c r="EF76" t="str">
        <f t="shared" si="244"/>
        <v>919876567890</v>
      </c>
      <c r="EG76" t="str">
        <f t="shared" si="245"/>
        <v>CUST-075</v>
      </c>
      <c r="EH76" t="str">
        <f t="shared" si="246"/>
        <v>public</v>
      </c>
      <c r="EI76" t="str">
        <f t="shared" si="247"/>
        <v>PRD-075-22Jun25</v>
      </c>
      <c r="EJ76" t="str">
        <f t="shared" si="248"/>
        <v>Corporate</v>
      </c>
    </row>
    <row r="77" spans="1:140" x14ac:dyDescent="0.3">
      <c r="A77" t="s">
        <v>992</v>
      </c>
      <c r="B77" t="s">
        <v>1546</v>
      </c>
      <c r="C77" t="s">
        <v>1440</v>
      </c>
      <c r="D77" t="s">
        <v>993</v>
      </c>
      <c r="E77" t="s">
        <v>994</v>
      </c>
      <c r="F77" t="s">
        <v>995</v>
      </c>
      <c r="G77" t="s">
        <v>996</v>
      </c>
      <c r="H77" t="s">
        <v>1684</v>
      </c>
      <c r="I77" t="s">
        <v>1629</v>
      </c>
      <c r="J77">
        <v>388001</v>
      </c>
      <c r="K77" t="str">
        <f t="shared" si="138"/>
        <v>anand, GUJARAT,388001</v>
      </c>
      <c r="L77" t="s">
        <v>997</v>
      </c>
      <c r="M77" t="s">
        <v>998</v>
      </c>
      <c r="N77" t="s">
        <v>999</v>
      </c>
      <c r="O77" t="s">
        <v>78</v>
      </c>
      <c r="P77" t="s">
        <v>1000</v>
      </c>
      <c r="Q77" t="s">
        <v>1001</v>
      </c>
      <c r="R77" t="s">
        <v>1002</v>
      </c>
      <c r="S77" t="s">
        <v>1003</v>
      </c>
      <c r="T77" t="s">
        <v>1004</v>
      </c>
      <c r="U77" t="str">
        <f t="shared" si="129"/>
        <v>TINA NAIR</v>
      </c>
      <c r="V77" t="str">
        <f t="shared" si="130"/>
        <v>tina.nair@mail.in</v>
      </c>
      <c r="W77" t="str">
        <f t="shared" si="139"/>
        <v>Anand</v>
      </c>
      <c r="X77" t="str">
        <f t="shared" si="131"/>
        <v>tina nair</v>
      </c>
      <c r="Y77" t="str">
        <f t="shared" si="140"/>
        <v>RETAIL</v>
      </c>
      <c r="Z77" t="str">
        <f t="shared" si="141"/>
        <v>lens cap world</v>
      </c>
      <c r="AA77" t="str">
        <f t="shared" si="142"/>
        <v>Accessories Manager</v>
      </c>
      <c r="AB77" t="str">
        <f t="shared" si="132"/>
        <v>951 GIDC</v>
      </c>
      <c r="AC77" t="str">
        <f t="shared" si="143"/>
        <v>DEPT-ACC-076</v>
      </c>
      <c r="AD77" t="str">
        <f t="shared" si="144"/>
        <v>Lens Cap 58Mm Keeper</v>
      </c>
      <c r="AE77" t="str">
        <f t="shared" si="145"/>
        <v>www.caps.com</v>
      </c>
      <c r="AF77" t="str">
        <f t="shared" si="146"/>
        <v>String attachment included</v>
      </c>
      <c r="AG77" t="str">
        <f t="shared" si="133"/>
        <v>CUST076</v>
      </c>
      <c r="AH77" t="str">
        <f t="shared" si="147"/>
        <v>PRD-CAP-076</v>
      </c>
      <c r="AI77" t="str">
        <f t="shared" si="134"/>
        <v>Tina Nair</v>
      </c>
      <c r="AJ77" t="str">
        <f t="shared" si="135"/>
        <v>(02692) 98765-432</v>
      </c>
      <c r="AK77" t="str">
        <f t="shared" si="148"/>
        <v>retail</v>
      </c>
      <c r="AL77" t="str">
        <f t="shared" si="149"/>
        <v>Lens Cap World</v>
      </c>
      <c r="AM77" t="str">
        <f t="shared" si="136"/>
        <v>tina.nair@mail.in</v>
      </c>
      <c r="AN77" t="str">
        <f t="shared" si="150"/>
        <v>ACCESSORIES MANAGER</v>
      </c>
      <c r="AO77" t="str">
        <f t="shared" si="137"/>
        <v>CUST076-tina nair</v>
      </c>
      <c r="AP77" t="str">
        <f t="shared" si="151"/>
        <v>tina nair</v>
      </c>
      <c r="AQ77" t="str">
        <f t="shared" si="152"/>
        <v>anand, GUJARAT</v>
      </c>
      <c r="AR77" t="str">
        <f t="shared" si="153"/>
        <v>prd-cap-076:LENS cap 58MM keeper</v>
      </c>
      <c r="AS77" t="str">
        <f t="shared" si="154"/>
        <v>tina.nair@mail.in|(02692) 98765-432</v>
      </c>
      <c r="AT77" t="str">
        <f t="shared" si="155"/>
        <v>lens CAP world-Accessories Manager</v>
      </c>
      <c r="AU77" t="str">
        <f t="shared" si="156"/>
        <v>retail 29-Jun-2025</v>
      </c>
      <c r="AV77" t="str">
        <f t="shared" si="157"/>
        <v>951 GIDC,anand, GUJARAT,388001</v>
      </c>
      <c r="AW77" t="str">
        <f t="shared" si="158"/>
        <v>dept-acc-076_Accessories Manager</v>
      </c>
      <c r="AX77" t="str">
        <f t="shared" si="159"/>
        <v>Customer ID:CUST076</v>
      </c>
      <c r="AY77" t="str">
        <f t="shared" si="160"/>
        <v>Email:tina.nair@mail.in</v>
      </c>
      <c r="AZ77" t="str">
        <f t="shared" si="161"/>
        <v>WWW.CAPS.COM/contact</v>
      </c>
      <c r="BA77" t="str">
        <f t="shared" si="162"/>
        <v>Order Placed On 29-Jun-2025</v>
      </c>
      <c r="BB77" t="str">
        <f t="shared" si="163"/>
        <v>tina nair(retail)</v>
      </c>
      <c r="BC77" t="str">
        <f t="shared" si="164"/>
        <v>prd-cap-076/LENS cap 58MM keeper</v>
      </c>
      <c r="BD77" t="str">
        <f t="shared" si="165"/>
        <v>call (02692) 98765-432</v>
      </c>
      <c r="BE77" t="str">
        <f t="shared" si="166"/>
        <v>lens CAP world-dept-acc-076</v>
      </c>
      <c r="BF77" t="str">
        <f t="shared" si="167"/>
        <v>CUST076-76</v>
      </c>
      <c r="BG77" t="str">
        <f t="shared" si="168"/>
        <v>Customer: tina nair,Type: retail</v>
      </c>
      <c r="BH77" t="str">
        <f t="shared" si="169"/>
        <v>anand,india</v>
      </c>
      <c r="BI77" t="str">
        <f t="shared" si="170"/>
        <v>CUST</v>
      </c>
      <c r="BJ77" t="str">
        <f t="shared" si="171"/>
        <v>tina.nair@</v>
      </c>
      <c r="BK77" t="str">
        <f t="shared" si="172"/>
        <v xml:space="preserve">tina </v>
      </c>
      <c r="BL77" t="str">
        <f t="shared" si="173"/>
        <v>prd-c</v>
      </c>
      <c r="BM77" t="str">
        <f t="shared" si="174"/>
        <v>ret</v>
      </c>
      <c r="BN77" t="str">
        <f t="shared" si="175"/>
        <v xml:space="preserve">(02692) </v>
      </c>
      <c r="BO77" t="str">
        <f t="shared" si="176"/>
        <v>mail.in</v>
      </c>
      <c r="BP77" t="str">
        <f t="shared" si="177"/>
        <v>anand</v>
      </c>
      <c r="BQ77" t="str">
        <f t="shared" si="178"/>
        <v>T076</v>
      </c>
      <c r="BR77" t="str">
        <f t="shared" si="179"/>
        <v>nair</v>
      </c>
      <c r="BS77" t="str">
        <f t="shared" si="180"/>
        <v>ap-076</v>
      </c>
      <c r="BU77" t="str">
        <f t="shared" si="181"/>
        <v>5-432</v>
      </c>
      <c r="BV77" t="str">
        <f t="shared" si="182"/>
        <v>388001</v>
      </c>
      <c r="BW77" t="str">
        <f t="shared" si="183"/>
        <v xml:space="preserve"> GUJARAT</v>
      </c>
      <c r="BX77" t="str">
        <f t="shared" si="184"/>
        <v>076</v>
      </c>
      <c r="BY77" t="str">
        <f t="shared" si="185"/>
        <v>acc</v>
      </c>
      <c r="BZ77" t="str">
        <f t="shared" si="186"/>
        <v>cap</v>
      </c>
      <c r="CA77" t="str">
        <f t="shared" si="187"/>
        <v>Jun</v>
      </c>
      <c r="CB77" t="str">
        <f t="shared" si="188"/>
        <v>ns CA</v>
      </c>
      <c r="CC77">
        <f t="shared" si="189"/>
        <v>10</v>
      </c>
      <c r="CD77">
        <f t="shared" si="190"/>
        <v>9</v>
      </c>
      <c r="CE77">
        <f t="shared" si="191"/>
        <v>17</v>
      </c>
      <c r="CF77">
        <f t="shared" si="192"/>
        <v>5</v>
      </c>
      <c r="CG77">
        <f t="shared" si="193"/>
        <v>20</v>
      </c>
      <c r="CH77">
        <f t="shared" si="194"/>
        <v>6</v>
      </c>
      <c r="CI77">
        <f t="shared" si="195"/>
        <v>7</v>
      </c>
      <c r="CJ77" t="str">
        <f t="shared" si="196"/>
        <v>Not found</v>
      </c>
      <c r="CK77">
        <f t="shared" si="197"/>
        <v>17</v>
      </c>
      <c r="CL77">
        <f t="shared" si="198"/>
        <v>4</v>
      </c>
      <c r="CM77">
        <f t="shared" si="199"/>
        <v>8</v>
      </c>
      <c r="CN77">
        <f t="shared" si="200"/>
        <v>5</v>
      </c>
      <c r="CO77">
        <f t="shared" si="201"/>
        <v>14</v>
      </c>
      <c r="CP77">
        <f t="shared" si="202"/>
        <v>8</v>
      </c>
      <c r="CQ77">
        <f t="shared" si="203"/>
        <v>12</v>
      </c>
      <c r="CR77" t="str">
        <f t="shared" si="204"/>
        <v>not found</v>
      </c>
      <c r="CS77">
        <f t="shared" si="205"/>
        <v>6</v>
      </c>
      <c r="CT77">
        <f t="shared" si="206"/>
        <v>8</v>
      </c>
      <c r="CU77">
        <f t="shared" si="207"/>
        <v>30</v>
      </c>
      <c r="CV77">
        <f t="shared" si="208"/>
        <v>3</v>
      </c>
      <c r="CW77" t="str">
        <f t="shared" si="209"/>
        <v>Customer ID076</v>
      </c>
      <c r="CX77" t="str">
        <f t="shared" si="210"/>
        <v>tina.nair[AT]mail.in</v>
      </c>
      <c r="CY77" t="str">
        <f t="shared" si="211"/>
        <v>Product-CAP-076</v>
      </c>
      <c r="CZ77" t="str">
        <f t="shared" si="212"/>
        <v>prd_cap_076</v>
      </c>
      <c r="DA77" t="str">
        <f t="shared" si="213"/>
        <v>DEPARTMENT-ACC-076</v>
      </c>
      <c r="DB77" t="str">
        <f t="shared" si="214"/>
        <v>TINA.NAIR@MAIL.IN</v>
      </c>
      <c r="DC77" t="str">
        <f t="shared" si="215"/>
        <v>https://www..CAPS.COM</v>
      </c>
      <c r="DD77" t="str">
        <f t="shared" si="216"/>
        <v>tina/nair</v>
      </c>
      <c r="DE77" t="str">
        <f t="shared" si="217"/>
        <v>RETAIL CUSTOMER</v>
      </c>
      <c r="DF77" t="str">
        <f t="shared" si="218"/>
        <v>anand; GUJARAT;388001</v>
      </c>
      <c r="DG77" t="str">
        <f t="shared" si="219"/>
        <v>Accessories Manager</v>
      </c>
      <c r="DH77" t="str">
        <f t="shared" si="220"/>
        <v xml:space="preserve"> 02692  98765-432</v>
      </c>
      <c r="DI77" t="str">
        <f t="shared" si="221"/>
        <v>lens CAP world</v>
      </c>
      <c r="DJ77" t="str">
        <f t="shared" si="222"/>
        <v>WWW.CAPS.COM</v>
      </c>
      <c r="DK77" t="str">
        <f t="shared" si="223"/>
        <v>951  GIDC</v>
      </c>
      <c r="DL77" t="str">
        <f t="shared" si="224"/>
        <v>tina.nair</v>
      </c>
      <c r="DM77" t="str">
        <f t="shared" si="225"/>
        <v>tina.nair@lens CAP world.com</v>
      </c>
      <c r="DN77" t="str">
        <f t="shared" si="226"/>
        <v>tina</v>
      </c>
      <c r="DO77" t="str">
        <f t="shared" si="227"/>
        <v>nair</v>
      </c>
      <c r="DP77" t="str">
        <f t="shared" si="228"/>
        <v>nair,tina</v>
      </c>
      <c r="DQ77" t="str">
        <f t="shared" si="229"/>
        <v>Name has9characters</v>
      </c>
      <c r="DR77" t="str">
        <f t="shared" si="230"/>
        <v>Check Domain</v>
      </c>
      <c r="DS77" t="str">
        <f t="shared" si="231"/>
        <v>(026</v>
      </c>
      <c r="DT77" t="str">
        <f t="shared" si="232"/>
        <v>CUS076</v>
      </c>
      <c r="DU77" t="str">
        <f t="shared" si="233"/>
        <v>tnair</v>
      </c>
      <c r="DV77" t="str">
        <f t="shared" si="234"/>
        <v>prd076</v>
      </c>
      <c r="DW77" t="str">
        <f t="shared" si="235"/>
        <v>(02692) 98765-432</v>
      </c>
      <c r="DX77" t="str">
        <f t="shared" si="236"/>
        <v>2025</v>
      </c>
      <c r="DY77" t="str">
        <f t="shared" si="237"/>
        <v>t</v>
      </c>
      <c r="DZ77" t="str">
        <f t="shared" si="238"/>
        <v>tinanair@lens CAP world.com</v>
      </c>
      <c r="EA77" t="str">
        <f t="shared" si="239"/>
        <v>Retail</v>
      </c>
      <c r="EB77" t="str">
        <f t="shared" si="240"/>
        <v>mail.in</v>
      </c>
      <c r="EC77">
        <f t="shared" si="241"/>
        <v>20</v>
      </c>
      <c r="ED77" t="str">
        <f t="shared" si="242"/>
        <v>an76</v>
      </c>
      <c r="EE77" t="str">
        <f t="shared" si="243"/>
        <v>anand- GUJARAT(388001)</v>
      </c>
      <c r="EF77" t="str">
        <f t="shared" si="244"/>
        <v>0269298765432</v>
      </c>
      <c r="EG77" t="str">
        <f t="shared" si="245"/>
        <v>CUST-076</v>
      </c>
      <c r="EH77" t="str">
        <f t="shared" si="246"/>
        <v>public</v>
      </c>
      <c r="EI77" t="str">
        <f t="shared" si="247"/>
        <v>PRD-076-29Jun25</v>
      </c>
      <c r="EJ77" t="str">
        <f t="shared" si="248"/>
        <v>Retail</v>
      </c>
    </row>
    <row r="78" spans="1:140" x14ac:dyDescent="0.3">
      <c r="A78" t="s">
        <v>1005</v>
      </c>
      <c r="B78" t="s">
        <v>1547</v>
      </c>
      <c r="C78" t="s">
        <v>1491</v>
      </c>
      <c r="D78" t="s">
        <v>1006</v>
      </c>
      <c r="E78" t="s">
        <v>1007</v>
      </c>
      <c r="F78" t="s">
        <v>1008</v>
      </c>
      <c r="G78" t="s">
        <v>1009</v>
      </c>
      <c r="H78" t="s">
        <v>1685</v>
      </c>
      <c r="I78" t="s">
        <v>1594</v>
      </c>
      <c r="J78">
        <v>361001</v>
      </c>
      <c r="K78" t="str">
        <f t="shared" si="138"/>
        <v>JAMNAGAR, Gujarat,361001</v>
      </c>
      <c r="L78" t="s">
        <v>1010</v>
      </c>
      <c r="M78" t="s">
        <v>1011</v>
      </c>
      <c r="N78" t="s">
        <v>1012</v>
      </c>
      <c r="O78" t="s">
        <v>92</v>
      </c>
      <c r="P78" t="s">
        <v>1013</v>
      </c>
      <c r="Q78" t="s">
        <v>1014</v>
      </c>
      <c r="R78" t="s">
        <v>1015</v>
      </c>
      <c r="S78" t="s">
        <v>1016</v>
      </c>
      <c r="T78" t="s">
        <v>1017</v>
      </c>
      <c r="U78" t="str">
        <f t="shared" si="129"/>
        <v xml:space="preserve">  KUNAL GHOSH</v>
      </c>
      <c r="V78" t="str">
        <f t="shared" si="130"/>
        <v>kunal_ghosh@email.in</v>
      </c>
      <c r="W78" t="str">
        <f t="shared" si="139"/>
        <v>Jamnagar</v>
      </c>
      <c r="X78" t="str">
        <f t="shared" si="131"/>
        <v>KUNAL ghosh</v>
      </c>
      <c r="Y78" t="str">
        <f t="shared" si="140"/>
        <v>WHOLESALE</v>
      </c>
      <c r="Z78" t="str">
        <f t="shared" si="141"/>
        <v>remote controls india</v>
      </c>
      <c r="AA78" t="str">
        <f t="shared" si="142"/>
        <v>Photo Equipment</v>
      </c>
      <c r="AB78" t="str">
        <f t="shared" si="132"/>
        <v>147 Teen Batti</v>
      </c>
      <c r="AC78" t="str">
        <f t="shared" si="143"/>
        <v>DEPT-EQUIP-077</v>
      </c>
      <c r="AD78" t="str">
        <f t="shared" si="144"/>
        <v>Pixel Wireless Remote Shutter</v>
      </c>
      <c r="AE78" t="str">
        <f t="shared" si="145"/>
        <v>www.remotes.in</v>
      </c>
      <c r="AF78" t="str">
        <f t="shared" si="146"/>
        <v>100m range minimum</v>
      </c>
      <c r="AG78" t="str">
        <f t="shared" si="133"/>
        <v>CUST077</v>
      </c>
      <c r="AH78" t="str">
        <f t="shared" si="147"/>
        <v>PRD-REMOTE-077</v>
      </c>
      <c r="AI78" t="str">
        <f t="shared" si="134"/>
        <v xml:space="preserve">  Kunal Ghosh</v>
      </c>
      <c r="AJ78" t="str">
        <f t="shared" si="135"/>
        <v>0288-2468135</v>
      </c>
      <c r="AK78" t="str">
        <f t="shared" si="148"/>
        <v>wholesale</v>
      </c>
      <c r="AL78" t="str">
        <f t="shared" si="149"/>
        <v>Remote Controls India</v>
      </c>
      <c r="AM78" t="str">
        <f t="shared" si="136"/>
        <v>kunal_ghosh@email.in</v>
      </c>
      <c r="AN78" t="str">
        <f t="shared" si="150"/>
        <v>PHOTO EQUIPMENT</v>
      </c>
      <c r="AO78" t="str">
        <f t="shared" si="137"/>
        <v>cust077-  KUNAL ghosh</v>
      </c>
      <c r="AP78" t="str">
        <f t="shared" si="151"/>
        <v>KUNAL ghosh</v>
      </c>
      <c r="AQ78" t="str">
        <f t="shared" si="152"/>
        <v>JAMNAGAR, Gujarat</v>
      </c>
      <c r="AR78" t="str">
        <f t="shared" si="153"/>
        <v>PRD-REMOTE-077:PIXEL wireless REMOTE shutter</v>
      </c>
      <c r="AS78" t="str">
        <f t="shared" si="154"/>
        <v>kunal_ghosh@email.in|0288-2468135</v>
      </c>
      <c r="AT78" t="str">
        <f t="shared" si="155"/>
        <v>REMOTE controls INDIA-Photo Equipment</v>
      </c>
      <c r="AU78" t="str">
        <f t="shared" si="156"/>
        <v>WholeSale 06-Jul-2025</v>
      </c>
      <c r="AV78" t="str">
        <f t="shared" si="157"/>
        <v xml:space="preserve">  147 Teen Batti  ,JAMNAGAR, Gujarat,361001</v>
      </c>
      <c r="AW78" t="str">
        <f t="shared" si="158"/>
        <v>DEPT-EQUIP-077_Photo Equipment</v>
      </c>
      <c r="AX78" t="str">
        <f t="shared" si="159"/>
        <v>Customer ID:cust077</v>
      </c>
      <c r="AY78" t="str">
        <f t="shared" si="160"/>
        <v>Email:kunal_ghosh@email.in</v>
      </c>
      <c r="AZ78" t="str">
        <f t="shared" si="161"/>
        <v>www.remotes.in/contact</v>
      </c>
      <c r="BA78" t="str">
        <f t="shared" si="162"/>
        <v>Order Placed On 06-Jul-2025</v>
      </c>
      <c r="BB78" t="str">
        <f t="shared" si="163"/>
        <v xml:space="preserve">  KUNAL ghosh(WholeSale)</v>
      </c>
      <c r="BC78" t="str">
        <f t="shared" si="164"/>
        <v>PRD-REMOTE-077/PIXEL wireless REMOTE shutter</v>
      </c>
      <c r="BD78" t="str">
        <f t="shared" si="165"/>
        <v>call 0288-2468135</v>
      </c>
      <c r="BE78" t="str">
        <f t="shared" si="166"/>
        <v>REMOTE controls INDIA-DEPT-EQUIP-077</v>
      </c>
      <c r="BF78" t="str">
        <f t="shared" si="167"/>
        <v>cust077-77</v>
      </c>
      <c r="BG78" t="str">
        <f t="shared" si="168"/>
        <v>Customer:   KUNAL ghosh,Type: WholeSale</v>
      </c>
      <c r="BH78" t="str">
        <f t="shared" si="169"/>
        <v>JAMNAGAR,india</v>
      </c>
      <c r="BI78" t="str">
        <f t="shared" si="170"/>
        <v>cust</v>
      </c>
      <c r="BJ78" t="str">
        <f t="shared" si="171"/>
        <v>kunal_ghos</v>
      </c>
      <c r="BK78" t="str">
        <f t="shared" si="172"/>
        <v xml:space="preserve">KUNAL </v>
      </c>
      <c r="BL78" t="str">
        <f t="shared" si="173"/>
        <v>PRD-R</v>
      </c>
      <c r="BM78" t="str">
        <f t="shared" si="174"/>
        <v>Who</v>
      </c>
      <c r="BN78" t="str">
        <f t="shared" si="175"/>
        <v>0288-246</v>
      </c>
      <c r="BO78" t="str">
        <f t="shared" si="176"/>
        <v>email.in</v>
      </c>
      <c r="BP78" t="str">
        <f t="shared" si="177"/>
        <v>JAMNAGAR</v>
      </c>
      <c r="BQ78" t="str">
        <f t="shared" si="178"/>
        <v>t077</v>
      </c>
      <c r="BR78" t="str">
        <f t="shared" si="179"/>
        <v>ghosh</v>
      </c>
      <c r="BS78" t="str">
        <f t="shared" si="180"/>
        <v>TE-077</v>
      </c>
      <c r="BU78" t="str">
        <f t="shared" si="181"/>
        <v>68135</v>
      </c>
      <c r="BV78" t="str">
        <f t="shared" si="182"/>
        <v>361001</v>
      </c>
      <c r="BW78" t="str">
        <f t="shared" si="183"/>
        <v xml:space="preserve"> Gujarat</v>
      </c>
      <c r="BX78" t="str">
        <f t="shared" si="184"/>
        <v>077</v>
      </c>
      <c r="BY78" t="str">
        <f t="shared" si="185"/>
        <v>EQUIP</v>
      </c>
      <c r="BZ78" t="str">
        <f t="shared" si="186"/>
        <v>REMOTE</v>
      </c>
      <c r="CA78" t="str">
        <f t="shared" si="187"/>
        <v>Jul</v>
      </c>
      <c r="CB78" t="str">
        <f t="shared" si="188"/>
        <v xml:space="preserve">MOTE </v>
      </c>
      <c r="CC78">
        <f t="shared" si="189"/>
        <v>12</v>
      </c>
      <c r="CD78">
        <f t="shared" si="190"/>
        <v>13</v>
      </c>
      <c r="CE78">
        <f t="shared" si="191"/>
        <v>20</v>
      </c>
      <c r="CF78">
        <f t="shared" si="192"/>
        <v>1</v>
      </c>
      <c r="CG78">
        <f t="shared" si="193"/>
        <v>29</v>
      </c>
      <c r="CH78">
        <f t="shared" si="194"/>
        <v>9</v>
      </c>
      <c r="CI78">
        <f t="shared" si="195"/>
        <v>7</v>
      </c>
      <c r="CJ78">
        <f t="shared" si="196"/>
        <v>1</v>
      </c>
      <c r="CK78">
        <f t="shared" si="197"/>
        <v>12</v>
      </c>
      <c r="CL78">
        <f t="shared" si="198"/>
        <v>4</v>
      </c>
      <c r="CM78">
        <f t="shared" si="199"/>
        <v>18</v>
      </c>
      <c r="CN78">
        <f t="shared" si="200"/>
        <v>18</v>
      </c>
      <c r="CO78">
        <f t="shared" si="201"/>
        <v>21</v>
      </c>
      <c r="CP78">
        <f t="shared" si="202"/>
        <v>11</v>
      </c>
      <c r="CQ78">
        <f t="shared" si="203"/>
        <v>14</v>
      </c>
      <c r="CR78" t="str">
        <f t="shared" si="204"/>
        <v>not found</v>
      </c>
      <c r="CS78">
        <f t="shared" si="205"/>
        <v>9</v>
      </c>
      <c r="CT78">
        <f t="shared" si="206"/>
        <v>11</v>
      </c>
      <c r="CU78">
        <f t="shared" si="207"/>
        <v>18</v>
      </c>
      <c r="CV78">
        <f t="shared" si="208"/>
        <v>3</v>
      </c>
      <c r="CW78" t="str">
        <f t="shared" si="209"/>
        <v>Customer ID077</v>
      </c>
      <c r="CX78" t="str">
        <f t="shared" si="210"/>
        <v>kunal_ghosh[AT]email.in</v>
      </c>
      <c r="CY78" t="str">
        <f t="shared" si="211"/>
        <v>Product-REMOTE-077</v>
      </c>
      <c r="CZ78" t="str">
        <f t="shared" si="212"/>
        <v>PRD_REMOTE_077</v>
      </c>
      <c r="DA78" t="str">
        <f t="shared" si="213"/>
        <v>DEPARTMENT-EQUIP-077</v>
      </c>
      <c r="DB78" t="str">
        <f t="shared" si="214"/>
        <v>KUNAL_GHOSH@EMAIL.IN</v>
      </c>
      <c r="DC78" t="str">
        <f t="shared" si="215"/>
        <v>https://www..REMOTES.IN</v>
      </c>
      <c r="DD78" t="str">
        <f t="shared" si="216"/>
        <v>//KUNAL/ghosh</v>
      </c>
      <c r="DE78" t="str">
        <f t="shared" si="217"/>
        <v>WholeSale</v>
      </c>
      <c r="DF78" t="str">
        <f t="shared" si="218"/>
        <v>JAMNAGAR; Gujarat;361001</v>
      </c>
      <c r="DG78" t="str">
        <f t="shared" si="219"/>
        <v>Photo Equipment</v>
      </c>
      <c r="DH78" t="str">
        <f t="shared" si="220"/>
        <v>0288-2468135</v>
      </c>
      <c r="DI78" t="str">
        <f t="shared" si="221"/>
        <v>REMOTE controls INDIA</v>
      </c>
      <c r="DJ78" t="str">
        <f t="shared" si="222"/>
        <v>www.remotes.in</v>
      </c>
      <c r="DK78" t="str">
        <f t="shared" si="223"/>
        <v xml:space="preserve">    147  Teen  Batti    </v>
      </c>
      <c r="DL78" t="str">
        <f t="shared" si="224"/>
        <v>kunal_ghosh</v>
      </c>
      <c r="DM78" t="str">
        <f t="shared" si="225"/>
        <v>KUNAL.ghosh@REMOTE controls INDIA.com</v>
      </c>
      <c r="DN78" t="str">
        <f t="shared" si="226"/>
        <v>KUNAL</v>
      </c>
      <c r="DO78" t="str">
        <f t="shared" si="227"/>
        <v>ghosh</v>
      </c>
      <c r="DP78" t="str">
        <f t="shared" si="228"/>
        <v>ghosh,KUNAL</v>
      </c>
      <c r="DQ78" t="str">
        <f t="shared" si="229"/>
        <v>Name has11characters</v>
      </c>
      <c r="DR78" t="str">
        <f t="shared" si="230"/>
        <v>Check Domain</v>
      </c>
      <c r="DS78" t="str">
        <f t="shared" si="231"/>
        <v>0288</v>
      </c>
      <c r="DT78" t="str">
        <f t="shared" si="232"/>
        <v>cus077</v>
      </c>
      <c r="DU78" t="str">
        <f t="shared" si="233"/>
        <v>Kghosh</v>
      </c>
      <c r="DV78" t="str">
        <f t="shared" si="234"/>
        <v>PRD077</v>
      </c>
      <c r="DW78" t="str">
        <f t="shared" si="235"/>
        <v>0288-2468135</v>
      </c>
      <c r="DX78" t="str">
        <f t="shared" si="236"/>
        <v>2025</v>
      </c>
      <c r="DY78" t="str">
        <f t="shared" si="237"/>
        <v>K</v>
      </c>
      <c r="DZ78" t="str">
        <f t="shared" si="238"/>
        <v>KUNALghosh@REMOTE controls INDIA.com</v>
      </c>
      <c r="EA78" t="str">
        <f t="shared" si="239"/>
        <v>Wholesale</v>
      </c>
      <c r="EB78" t="str">
        <f t="shared" si="240"/>
        <v>email.in</v>
      </c>
      <c r="EC78">
        <f t="shared" si="241"/>
        <v>29</v>
      </c>
      <c r="ED78" t="str">
        <f t="shared" si="242"/>
        <v>JA77</v>
      </c>
      <c r="EE78" t="str">
        <f t="shared" si="243"/>
        <v>JAMNAGAR- Gujarat(361001)</v>
      </c>
      <c r="EF78" t="str">
        <f t="shared" si="244"/>
        <v>02882468135</v>
      </c>
      <c r="EG78" t="str">
        <f t="shared" si="245"/>
        <v>CUST-077</v>
      </c>
      <c r="EH78" t="str">
        <f t="shared" si="246"/>
        <v>public</v>
      </c>
      <c r="EI78" t="str">
        <f t="shared" si="247"/>
        <v>PRD-077-06Jul25</v>
      </c>
      <c r="EJ78" t="str">
        <f t="shared" si="248"/>
        <v>Wholesale</v>
      </c>
    </row>
    <row r="79" spans="1:140" x14ac:dyDescent="0.3">
      <c r="A79" t="s">
        <v>1018</v>
      </c>
      <c r="B79" t="s">
        <v>1548</v>
      </c>
      <c r="C79" t="s">
        <v>1424</v>
      </c>
      <c r="D79" t="s">
        <v>1019</v>
      </c>
      <c r="E79" t="s">
        <v>1020</v>
      </c>
      <c r="F79" t="s">
        <v>1021</v>
      </c>
      <c r="G79" t="s">
        <v>1022</v>
      </c>
      <c r="H79" t="s">
        <v>1686</v>
      </c>
      <c r="I79" t="s">
        <v>1629</v>
      </c>
      <c r="J79">
        <v>360575</v>
      </c>
      <c r="K79" t="str">
        <f t="shared" si="138"/>
        <v>Porbandar, GUJARAT,360575</v>
      </c>
      <c r="L79" t="s">
        <v>1023</v>
      </c>
      <c r="M79" t="s">
        <v>1024</v>
      </c>
      <c r="N79" t="s">
        <v>1025</v>
      </c>
      <c r="O79" t="s">
        <v>132</v>
      </c>
      <c r="P79" t="s">
        <v>1026</v>
      </c>
      <c r="Q79" t="s">
        <v>1027</v>
      </c>
      <c r="R79" t="s">
        <v>1028</v>
      </c>
      <c r="S79" t="s">
        <v>1029</v>
      </c>
      <c r="T79" t="s">
        <v>1030</v>
      </c>
      <c r="U79" t="str">
        <f t="shared" si="129"/>
        <v xml:space="preserve">SHEETAL PATEL  </v>
      </c>
      <c r="V79" t="str">
        <f t="shared" si="130"/>
        <v>sheetal.patel@corporate.in</v>
      </c>
      <c r="W79" t="str">
        <f t="shared" si="139"/>
        <v>Porbandar</v>
      </c>
      <c r="X79" t="str">
        <f t="shared" si="131"/>
        <v>sheetal PATEL</v>
      </c>
      <c r="Y79" t="str">
        <f t="shared" si="140"/>
        <v>CORPORATE</v>
      </c>
      <c r="Z79" t="str">
        <f t="shared" si="141"/>
        <v xml:space="preserve">  timer solutions pro  </v>
      </c>
      <c r="AA79" t="str">
        <f t="shared" si="142"/>
        <v>Time-Lapse Specialist</v>
      </c>
      <c r="AB79" t="str">
        <f t="shared" si="132"/>
        <v>258 MG Road</v>
      </c>
      <c r="AC79" t="str">
        <f t="shared" si="143"/>
        <v>DEPT-TIME-078</v>
      </c>
      <c r="AD79" t="str">
        <f t="shared" si="144"/>
        <v>Canon Timer Remote Tc-80N3</v>
      </c>
      <c r="AE79" t="str">
        <f t="shared" si="145"/>
        <v>https://timers.in</v>
      </c>
      <c r="AF79" t="str">
        <f t="shared" si="146"/>
        <v>Interval timer function</v>
      </c>
      <c r="AG79" t="str">
        <f t="shared" si="133"/>
        <v>CUST078</v>
      </c>
      <c r="AH79" t="str">
        <f t="shared" si="147"/>
        <v>PRD-TIMER-078</v>
      </c>
      <c r="AI79" t="str">
        <f t="shared" si="134"/>
        <v xml:space="preserve">Sheetal Patel  </v>
      </c>
      <c r="AJ79" t="str">
        <f t="shared" si="135"/>
        <v>+91-9123678901</v>
      </c>
      <c r="AK79" t="str">
        <f t="shared" si="148"/>
        <v>corporate</v>
      </c>
      <c r="AL79" t="str">
        <f t="shared" si="149"/>
        <v>Timer Solutions Pro</v>
      </c>
      <c r="AM79" t="str">
        <f t="shared" si="136"/>
        <v>sheetal.patel@corporate.in</v>
      </c>
      <c r="AN79" t="str">
        <f t="shared" si="150"/>
        <v>TIME-LAPSE SPECIALIST</v>
      </c>
      <c r="AO79" t="str">
        <f t="shared" si="137"/>
        <v xml:space="preserve">Cust078-sheetal PATEL  </v>
      </c>
      <c r="AP79" t="str">
        <f t="shared" si="151"/>
        <v>sheetal PATEL</v>
      </c>
      <c r="AQ79" t="str">
        <f t="shared" si="152"/>
        <v>Porbandar, GUJARAT</v>
      </c>
      <c r="AR79" t="str">
        <f t="shared" si="153"/>
        <v>prd-timer-078:CANON timer REMOTE tc-80n3</v>
      </c>
      <c r="AS79" t="str">
        <f t="shared" si="154"/>
        <v>SHEETAL.PATEL@CORPORATE.IN|+91-9123678901</v>
      </c>
      <c r="AT79" t="str">
        <f t="shared" si="155"/>
        <v xml:space="preserve">  TIMER solutions PRO  -TIME-LAPSE SPECIALIST</v>
      </c>
      <c r="AU79" t="str">
        <f t="shared" si="156"/>
        <v>Corporate 13-Jul-2025</v>
      </c>
      <c r="AV79" t="str">
        <f t="shared" si="157"/>
        <v>258 MG Road,Porbandar, GUJARAT,360575</v>
      </c>
      <c r="AW79" t="str">
        <f t="shared" si="158"/>
        <v>dept-time-078_TIME-LAPSE SPECIALIST</v>
      </c>
      <c r="AX79" t="str">
        <f t="shared" si="159"/>
        <v>Customer ID:Cust078</v>
      </c>
      <c r="AY79" t="str">
        <f t="shared" si="160"/>
        <v>Email:SHEETAL.PATEL@CORPORATE.IN</v>
      </c>
      <c r="AZ79" t="str">
        <f t="shared" si="161"/>
        <v>https://timers.in/contact</v>
      </c>
      <c r="BA79" t="str">
        <f t="shared" si="162"/>
        <v>Order Placed On 13-Jul-2025</v>
      </c>
      <c r="BB79" t="str">
        <f t="shared" si="163"/>
        <v>sheetal PATEL  (Corporate)</v>
      </c>
      <c r="BC79" t="str">
        <f t="shared" si="164"/>
        <v>prd-timer-078/CANON timer REMOTE tc-80n3</v>
      </c>
      <c r="BD79" t="str">
        <f t="shared" si="165"/>
        <v>call +91-9123678901</v>
      </c>
      <c r="BE79" t="str">
        <f t="shared" si="166"/>
        <v xml:space="preserve">  TIMER solutions PRO  -dept-time-078</v>
      </c>
      <c r="BF79" t="str">
        <f t="shared" si="167"/>
        <v>Cust078-78</v>
      </c>
      <c r="BG79" t="str">
        <f t="shared" si="168"/>
        <v>Customer: sheetal PATEL  ,Type: Corporate</v>
      </c>
      <c r="BH79" t="str">
        <f t="shared" si="169"/>
        <v>Porbandar,india</v>
      </c>
      <c r="BI79" t="str">
        <f t="shared" si="170"/>
        <v>Cust</v>
      </c>
      <c r="BJ79" t="str">
        <f t="shared" si="171"/>
        <v>SHEETAL.PA</v>
      </c>
      <c r="BK79" t="str">
        <f t="shared" si="172"/>
        <v xml:space="preserve">sheetal </v>
      </c>
      <c r="BL79" t="str">
        <f t="shared" si="173"/>
        <v>prd-t</v>
      </c>
      <c r="BM79" t="str">
        <f t="shared" si="174"/>
        <v>Cor</v>
      </c>
      <c r="BN79" t="str">
        <f t="shared" si="175"/>
        <v>+91-9123</v>
      </c>
      <c r="BO79" t="str">
        <f t="shared" si="176"/>
        <v>CORPORATE.IN</v>
      </c>
      <c r="BP79" t="str">
        <f t="shared" si="177"/>
        <v>Porbandar</v>
      </c>
      <c r="BQ79" t="str">
        <f t="shared" si="178"/>
        <v>t078</v>
      </c>
      <c r="BR79" t="str">
        <f t="shared" si="179"/>
        <v>l PATEL</v>
      </c>
      <c r="BS79" t="str">
        <f t="shared" si="180"/>
        <v>er-078</v>
      </c>
      <c r="BU79" t="str">
        <f t="shared" si="181"/>
        <v>78901</v>
      </c>
      <c r="BV79" t="str">
        <f t="shared" si="182"/>
        <v>360575</v>
      </c>
      <c r="BW79" t="str">
        <f t="shared" si="183"/>
        <v xml:space="preserve"> GUJARAT</v>
      </c>
      <c r="BX79" t="str">
        <f t="shared" si="184"/>
        <v>078</v>
      </c>
      <c r="BY79" t="str">
        <f t="shared" si="185"/>
        <v>time</v>
      </c>
      <c r="BZ79" t="str">
        <f t="shared" si="186"/>
        <v>timer</v>
      </c>
      <c r="CA79" t="str">
        <f t="shared" si="187"/>
        <v>Jul</v>
      </c>
      <c r="CB79" t="str">
        <f t="shared" si="188"/>
        <v>TIMER</v>
      </c>
      <c r="CC79">
        <f t="shared" si="189"/>
        <v>14</v>
      </c>
      <c r="CD79">
        <f t="shared" si="190"/>
        <v>15</v>
      </c>
      <c r="CE79">
        <f t="shared" si="191"/>
        <v>26</v>
      </c>
      <c r="CF79">
        <f t="shared" si="192"/>
        <v>8</v>
      </c>
      <c r="CG79">
        <f t="shared" si="193"/>
        <v>26</v>
      </c>
      <c r="CH79">
        <f t="shared" si="194"/>
        <v>10</v>
      </c>
      <c r="CI79">
        <f t="shared" si="195"/>
        <v>7</v>
      </c>
      <c r="CJ79" t="str">
        <f t="shared" si="196"/>
        <v>Not found</v>
      </c>
      <c r="CK79">
        <f t="shared" si="197"/>
        <v>14</v>
      </c>
      <c r="CL79">
        <f t="shared" si="198"/>
        <v>4</v>
      </c>
      <c r="CM79">
        <f t="shared" si="199"/>
        <v>11</v>
      </c>
      <c r="CN79">
        <f t="shared" si="200"/>
        <v>8</v>
      </c>
      <c r="CO79">
        <f t="shared" si="201"/>
        <v>19</v>
      </c>
      <c r="CP79">
        <f t="shared" si="202"/>
        <v>10</v>
      </c>
      <c r="CQ79">
        <f t="shared" si="203"/>
        <v>13</v>
      </c>
      <c r="CR79">
        <f t="shared" si="204"/>
        <v>7</v>
      </c>
      <c r="CS79">
        <f t="shared" si="205"/>
        <v>9</v>
      </c>
      <c r="CT79">
        <f t="shared" si="206"/>
        <v>10</v>
      </c>
      <c r="CU79">
        <f t="shared" si="207"/>
        <v>23</v>
      </c>
      <c r="CV79">
        <f t="shared" si="208"/>
        <v>3</v>
      </c>
      <c r="CW79" t="str">
        <f t="shared" si="209"/>
        <v>Customer ID078</v>
      </c>
      <c r="CX79" t="str">
        <f t="shared" si="210"/>
        <v>SHEETAL.PATEL[AT]CORPORATE.IN</v>
      </c>
      <c r="CY79" t="str">
        <f t="shared" si="211"/>
        <v>Product-TIMER-078</v>
      </c>
      <c r="CZ79" t="str">
        <f t="shared" si="212"/>
        <v>prd_timer_078</v>
      </c>
      <c r="DA79" t="str">
        <f t="shared" si="213"/>
        <v>DEPARTMENT-TIME-078</v>
      </c>
      <c r="DB79" t="str">
        <f t="shared" si="214"/>
        <v>SHEETAL.PATEL@CORPORATE.IN</v>
      </c>
      <c r="DC79" t="str">
        <f t="shared" si="215"/>
        <v>HTTPS://TIMERS.IN</v>
      </c>
      <c r="DD79" t="str">
        <f t="shared" si="216"/>
        <v>sheetal/PATEL//</v>
      </c>
      <c r="DE79" t="str">
        <f t="shared" si="217"/>
        <v>Corporate</v>
      </c>
      <c r="DF79" t="str">
        <f t="shared" si="218"/>
        <v>Porbandar; GUJARAT;360575</v>
      </c>
      <c r="DG79" t="str">
        <f t="shared" si="219"/>
        <v>TIME-LAPSE SPECIALIST</v>
      </c>
      <c r="DH79" t="str">
        <f t="shared" si="220"/>
        <v>+91-9123678901</v>
      </c>
      <c r="DI79" t="str">
        <f t="shared" si="221"/>
        <v xml:space="preserve">  TIMER solutions PRO  </v>
      </c>
      <c r="DJ79" t="str">
        <f t="shared" si="222"/>
        <v>https:://timers.in</v>
      </c>
      <c r="DK79" t="str">
        <f t="shared" si="223"/>
        <v>258  MG  Road</v>
      </c>
      <c r="DL79" t="str">
        <f t="shared" si="224"/>
        <v>SHEETAL.PATEL</v>
      </c>
      <c r="DM79" t="str">
        <f t="shared" si="225"/>
        <v>sheetal.PATEL@  TIMER solutions PRO  .com</v>
      </c>
      <c r="DN79" t="str">
        <f t="shared" si="226"/>
        <v>sheetal</v>
      </c>
      <c r="DO79" t="str">
        <f t="shared" si="227"/>
        <v>PATEL</v>
      </c>
      <c r="DP79" t="str">
        <f t="shared" si="228"/>
        <v>PATEL,sheetal</v>
      </c>
      <c r="DQ79" t="str">
        <f t="shared" si="229"/>
        <v>Name has13characters</v>
      </c>
      <c r="DR79" t="str">
        <f t="shared" si="230"/>
        <v>Check Domain</v>
      </c>
      <c r="DS79" t="str">
        <f t="shared" si="231"/>
        <v>+91-</v>
      </c>
      <c r="DT79" t="str">
        <f t="shared" si="232"/>
        <v>Cus078</v>
      </c>
      <c r="DU79" t="str">
        <f t="shared" si="233"/>
        <v>spatel</v>
      </c>
      <c r="DV79" t="str">
        <f t="shared" si="234"/>
        <v>prd078</v>
      </c>
      <c r="DW79" t="str">
        <f t="shared" si="235"/>
        <v>+91-9123678901</v>
      </c>
      <c r="DX79" t="str">
        <f t="shared" si="236"/>
        <v>2025</v>
      </c>
      <c r="DY79" t="str">
        <f t="shared" si="237"/>
        <v>s</v>
      </c>
      <c r="DZ79" t="str">
        <f t="shared" si="238"/>
        <v>sheetalPATEL@  TIMER solutions PRO  .com</v>
      </c>
      <c r="EA79" t="str">
        <f t="shared" si="239"/>
        <v/>
      </c>
      <c r="EB79" t="str">
        <f t="shared" si="240"/>
        <v>CORPORATE.IN</v>
      </c>
      <c r="EC79">
        <f t="shared" si="241"/>
        <v>26</v>
      </c>
      <c r="ED79" t="str">
        <f t="shared" si="242"/>
        <v>Po78</v>
      </c>
      <c r="EE79" t="str">
        <f t="shared" si="243"/>
        <v>Porbandar- GUJARAT(360575)</v>
      </c>
      <c r="EF79" t="str">
        <f t="shared" si="244"/>
        <v>919123678901</v>
      </c>
      <c r="EG79" t="str">
        <f t="shared" si="245"/>
        <v>CUST-078</v>
      </c>
      <c r="EH79" t="str">
        <f t="shared" si="246"/>
        <v>public</v>
      </c>
      <c r="EI79" t="str">
        <f t="shared" si="247"/>
        <v>PRD-078-13Jul25</v>
      </c>
      <c r="EJ79" t="str">
        <f t="shared" si="248"/>
        <v>Corporate</v>
      </c>
    </row>
    <row r="80" spans="1:140" x14ac:dyDescent="0.3">
      <c r="A80" t="s">
        <v>1031</v>
      </c>
      <c r="B80" t="s">
        <v>1549</v>
      </c>
      <c r="C80" t="s">
        <v>1428</v>
      </c>
      <c r="D80" t="s">
        <v>1032</v>
      </c>
      <c r="E80" t="s">
        <v>1033</v>
      </c>
      <c r="F80" t="s">
        <v>1034</v>
      </c>
      <c r="G80" t="s">
        <v>1035</v>
      </c>
      <c r="H80" t="s">
        <v>1687</v>
      </c>
      <c r="I80" t="s">
        <v>1629</v>
      </c>
      <c r="J80">
        <v>396445</v>
      </c>
      <c r="K80" t="str">
        <f t="shared" si="138"/>
        <v>navsari, GUJARAT,396445</v>
      </c>
      <c r="L80" t="s">
        <v>1036</v>
      </c>
      <c r="M80" t="s">
        <v>1037</v>
      </c>
      <c r="N80" t="s">
        <v>1038</v>
      </c>
      <c r="O80" t="s">
        <v>78</v>
      </c>
      <c r="P80" t="s">
        <v>1039</v>
      </c>
      <c r="Q80" t="s">
        <v>1040</v>
      </c>
      <c r="R80" t="s">
        <v>1041</v>
      </c>
      <c r="S80" t="s">
        <v>1042</v>
      </c>
      <c r="T80" t="s">
        <v>1043</v>
      </c>
      <c r="U80" t="str">
        <f t="shared" si="129"/>
        <v>VIJAY VERMA</v>
      </c>
      <c r="V80" t="str">
        <f t="shared" si="130"/>
        <v>vijay.verma@mail.in</v>
      </c>
      <c r="W80" t="str">
        <f t="shared" si="139"/>
        <v>Navsari</v>
      </c>
      <c r="X80" t="str">
        <f t="shared" si="131"/>
        <v>vijay verma</v>
      </c>
      <c r="Y80" t="str">
        <f t="shared" si="140"/>
        <v>RETAIL</v>
      </c>
      <c r="Z80" t="str">
        <f t="shared" si="141"/>
        <v>cable solutions cameras</v>
      </c>
      <c r="AA80" t="str">
        <f t="shared" si="142"/>
        <v>Video Engineer</v>
      </c>
      <c r="AB80" t="str">
        <f t="shared" si="132"/>
        <v>369 Station Road</v>
      </c>
      <c r="AC80" t="str">
        <f t="shared" si="143"/>
        <v>DEPT-VIDEO-079</v>
      </c>
      <c r="AD80" t="str">
        <f t="shared" si="144"/>
        <v>Canon Hdmi Cable Hc-E1</v>
      </c>
      <c r="AE80" t="str">
        <f t="shared" si="145"/>
        <v>www.cables.com</v>
      </c>
      <c r="AF80" t="str">
        <f t="shared" si="146"/>
        <v>Length: 2.9 meters</v>
      </c>
      <c r="AG80" t="str">
        <f t="shared" si="133"/>
        <v>CUST079</v>
      </c>
      <c r="AH80" t="str">
        <f t="shared" si="147"/>
        <v>PRD-CABLE-079</v>
      </c>
      <c r="AI80" t="str">
        <f t="shared" si="134"/>
        <v>Vijay Verma</v>
      </c>
      <c r="AJ80" t="str">
        <f t="shared" si="135"/>
        <v>(02637) 2468-9753</v>
      </c>
      <c r="AK80" t="str">
        <f t="shared" si="148"/>
        <v>retail</v>
      </c>
      <c r="AL80" t="str">
        <f t="shared" si="149"/>
        <v>Cable Solutions Cameras</v>
      </c>
      <c r="AM80" t="str">
        <f t="shared" si="136"/>
        <v>vijay.verma@mail.in</v>
      </c>
      <c r="AN80" t="str">
        <f t="shared" si="150"/>
        <v>VIDEO ENGINEER</v>
      </c>
      <c r="AO80" t="str">
        <f t="shared" si="137"/>
        <v>CUST079-vijay verma</v>
      </c>
      <c r="AP80" t="str">
        <f t="shared" si="151"/>
        <v>vijay verma</v>
      </c>
      <c r="AQ80" t="str">
        <f t="shared" si="152"/>
        <v>navsari, GUJARAT</v>
      </c>
      <c r="AR80" t="str">
        <f t="shared" si="153"/>
        <v>prd-cable-079:CANON hdmi CABLE hc-e1</v>
      </c>
      <c r="AS80" t="str">
        <f t="shared" si="154"/>
        <v>vijay.verma@mail.in|(02637) 2468-9753</v>
      </c>
      <c r="AT80" t="str">
        <f t="shared" si="155"/>
        <v>cable SOLUTIONS cameras-Video Engineer</v>
      </c>
      <c r="AU80" t="str">
        <f t="shared" si="156"/>
        <v>retail 20-Jul-2025</v>
      </c>
      <c r="AV80" t="str">
        <f t="shared" si="157"/>
        <v>369 Station Road,navsari, GUJARAT,396445</v>
      </c>
      <c r="AW80" t="str">
        <f t="shared" si="158"/>
        <v>dept-video-079_Video Engineer</v>
      </c>
      <c r="AX80" t="str">
        <f t="shared" si="159"/>
        <v>Customer ID:CUST079</v>
      </c>
      <c r="AY80" t="str">
        <f t="shared" si="160"/>
        <v>Email:vijay.verma@mail.in</v>
      </c>
      <c r="AZ80" t="str">
        <f t="shared" si="161"/>
        <v>WWW.CABLES.COM/contact</v>
      </c>
      <c r="BA80" t="str">
        <f t="shared" si="162"/>
        <v>Order Placed On 20-Jul-2025</v>
      </c>
      <c r="BB80" t="str">
        <f t="shared" si="163"/>
        <v>vijay verma(retail)</v>
      </c>
      <c r="BC80" t="str">
        <f t="shared" si="164"/>
        <v>prd-cable-079/CANON hdmi CABLE hc-e1</v>
      </c>
      <c r="BD80" t="str">
        <f t="shared" si="165"/>
        <v>call (02637) 2468-9753</v>
      </c>
      <c r="BE80" t="str">
        <f t="shared" si="166"/>
        <v>cable SOLUTIONS cameras-dept-video-079</v>
      </c>
      <c r="BF80" t="str">
        <f t="shared" si="167"/>
        <v>CUST079-79</v>
      </c>
      <c r="BG80" t="str">
        <f t="shared" si="168"/>
        <v>Customer: vijay verma,Type: retail</v>
      </c>
      <c r="BH80" t="str">
        <f t="shared" si="169"/>
        <v>navsari,india</v>
      </c>
      <c r="BI80" t="str">
        <f t="shared" si="170"/>
        <v>CUST</v>
      </c>
      <c r="BJ80" t="str">
        <f t="shared" si="171"/>
        <v>vijay.verm</v>
      </c>
      <c r="BK80" t="str">
        <f t="shared" si="172"/>
        <v xml:space="preserve">vijay </v>
      </c>
      <c r="BL80" t="str">
        <f t="shared" si="173"/>
        <v>prd-c</v>
      </c>
      <c r="BM80" t="str">
        <f t="shared" si="174"/>
        <v>ret</v>
      </c>
      <c r="BN80" t="str">
        <f t="shared" si="175"/>
        <v xml:space="preserve">(02637) </v>
      </c>
      <c r="BO80" t="str">
        <f t="shared" si="176"/>
        <v>mail.in</v>
      </c>
      <c r="BP80" t="str">
        <f t="shared" si="177"/>
        <v>navsari</v>
      </c>
      <c r="BQ80" t="str">
        <f t="shared" si="178"/>
        <v>T079</v>
      </c>
      <c r="BR80" t="str">
        <f t="shared" si="179"/>
        <v>verma</v>
      </c>
      <c r="BS80" t="str">
        <f t="shared" si="180"/>
        <v>le-079</v>
      </c>
      <c r="BU80" t="str">
        <f t="shared" si="181"/>
        <v>-9753</v>
      </c>
      <c r="BV80" t="str">
        <f t="shared" si="182"/>
        <v>396445</v>
      </c>
      <c r="BW80" t="str">
        <f t="shared" si="183"/>
        <v xml:space="preserve"> GUJARAT</v>
      </c>
      <c r="BX80" t="str">
        <f t="shared" si="184"/>
        <v>079</v>
      </c>
      <c r="BY80" t="str">
        <f t="shared" si="185"/>
        <v>video</v>
      </c>
      <c r="BZ80" t="str">
        <f t="shared" si="186"/>
        <v>cable</v>
      </c>
      <c r="CA80" t="str">
        <f t="shared" si="187"/>
        <v>Jul</v>
      </c>
      <c r="CB80" t="str">
        <f t="shared" si="188"/>
        <v>ble S</v>
      </c>
      <c r="CC80">
        <f t="shared" si="189"/>
        <v>12</v>
      </c>
      <c r="CD80">
        <f t="shared" si="190"/>
        <v>11</v>
      </c>
      <c r="CE80">
        <f t="shared" si="191"/>
        <v>19</v>
      </c>
      <c r="CF80">
        <f t="shared" si="192"/>
        <v>6</v>
      </c>
      <c r="CG80">
        <f t="shared" si="193"/>
        <v>22</v>
      </c>
      <c r="CH80">
        <f t="shared" si="194"/>
        <v>8</v>
      </c>
      <c r="CI80">
        <f t="shared" si="195"/>
        <v>7</v>
      </c>
      <c r="CJ80" t="str">
        <f t="shared" si="196"/>
        <v>Not found</v>
      </c>
      <c r="CK80">
        <f t="shared" si="197"/>
        <v>17</v>
      </c>
      <c r="CL80">
        <f t="shared" si="198"/>
        <v>4</v>
      </c>
      <c r="CM80">
        <f t="shared" si="199"/>
        <v>16</v>
      </c>
      <c r="CN80">
        <f t="shared" si="200"/>
        <v>6</v>
      </c>
      <c r="CO80">
        <f t="shared" si="201"/>
        <v>23</v>
      </c>
      <c r="CP80">
        <f t="shared" si="202"/>
        <v>10</v>
      </c>
      <c r="CQ80">
        <f t="shared" si="203"/>
        <v>14</v>
      </c>
      <c r="CR80" t="str">
        <f t="shared" si="204"/>
        <v>not found</v>
      </c>
      <c r="CS80">
        <f t="shared" si="205"/>
        <v>6</v>
      </c>
      <c r="CT80">
        <f t="shared" si="206"/>
        <v>10</v>
      </c>
      <c r="CU80">
        <f t="shared" si="207"/>
        <v>22</v>
      </c>
      <c r="CV80">
        <f t="shared" si="208"/>
        <v>3</v>
      </c>
      <c r="CW80" t="str">
        <f t="shared" si="209"/>
        <v>Customer ID079</v>
      </c>
      <c r="CX80" t="str">
        <f t="shared" si="210"/>
        <v>vijay.verma[AT]mail.in</v>
      </c>
      <c r="CY80" t="str">
        <f t="shared" si="211"/>
        <v>Product-CABLE-079</v>
      </c>
      <c r="CZ80" t="str">
        <f t="shared" si="212"/>
        <v>prd_cable_079</v>
      </c>
      <c r="DA80" t="str">
        <f t="shared" si="213"/>
        <v>DEPARTMENT-VIDEO-079</v>
      </c>
      <c r="DB80" t="str">
        <f t="shared" si="214"/>
        <v>VIJAY.VERMA@MAIL.IN</v>
      </c>
      <c r="DC80" t="str">
        <f t="shared" si="215"/>
        <v>https://www..CABLES.COM</v>
      </c>
      <c r="DD80" t="str">
        <f t="shared" si="216"/>
        <v>vijay/verma</v>
      </c>
      <c r="DE80" t="str">
        <f t="shared" si="217"/>
        <v>RETAIL CUSTOMER</v>
      </c>
      <c r="DF80" t="str">
        <f t="shared" si="218"/>
        <v>navsari; GUJARAT;396445</v>
      </c>
      <c r="DG80" t="str">
        <f t="shared" si="219"/>
        <v>Video Engineer</v>
      </c>
      <c r="DH80" t="str">
        <f t="shared" si="220"/>
        <v xml:space="preserve"> 02637  2468-9753</v>
      </c>
      <c r="DI80" t="str">
        <f t="shared" si="221"/>
        <v>cable SOLUTIONS cameras</v>
      </c>
      <c r="DJ80" t="str">
        <f t="shared" si="222"/>
        <v>WWW.CABLES.COM</v>
      </c>
      <c r="DK80" t="str">
        <f t="shared" si="223"/>
        <v>369  Station  Road</v>
      </c>
      <c r="DL80" t="str">
        <f t="shared" si="224"/>
        <v>vijay.verma</v>
      </c>
      <c r="DM80" t="str">
        <f t="shared" si="225"/>
        <v>vijay.verma@cable SOLUTIONS cameras.com</v>
      </c>
      <c r="DN80" t="str">
        <f t="shared" si="226"/>
        <v>vijay</v>
      </c>
      <c r="DO80" t="str">
        <f t="shared" si="227"/>
        <v>verma</v>
      </c>
      <c r="DP80" t="str">
        <f t="shared" si="228"/>
        <v>verma,vijay</v>
      </c>
      <c r="DQ80" t="str">
        <f t="shared" si="229"/>
        <v>Name has11characters</v>
      </c>
      <c r="DR80" t="str">
        <f t="shared" si="230"/>
        <v>Check Domain</v>
      </c>
      <c r="DS80" t="str">
        <f t="shared" si="231"/>
        <v>(026</v>
      </c>
      <c r="DT80" t="str">
        <f t="shared" si="232"/>
        <v>CUS079</v>
      </c>
      <c r="DU80" t="str">
        <f t="shared" si="233"/>
        <v>vverma</v>
      </c>
      <c r="DV80" t="str">
        <f t="shared" si="234"/>
        <v>prd079</v>
      </c>
      <c r="DW80" t="str">
        <f t="shared" si="235"/>
        <v>(02637) 2468-9753</v>
      </c>
      <c r="DX80" t="str">
        <f t="shared" si="236"/>
        <v>2025</v>
      </c>
      <c r="DY80" t="str">
        <f t="shared" si="237"/>
        <v>v</v>
      </c>
      <c r="DZ80" t="str">
        <f t="shared" si="238"/>
        <v>vijayverma@cable SOLUTIONS cameras.com</v>
      </c>
      <c r="EA80" t="str">
        <f t="shared" si="239"/>
        <v>Retail</v>
      </c>
      <c r="EB80" t="str">
        <f t="shared" si="240"/>
        <v>mail.in</v>
      </c>
      <c r="EC80">
        <f t="shared" si="241"/>
        <v>22</v>
      </c>
      <c r="ED80" t="str">
        <f t="shared" si="242"/>
        <v>na79</v>
      </c>
      <c r="EE80" t="str">
        <f t="shared" si="243"/>
        <v>navsari- GUJARAT(396445)</v>
      </c>
      <c r="EF80" t="str">
        <f t="shared" si="244"/>
        <v>0263724689753</v>
      </c>
      <c r="EG80" t="str">
        <f t="shared" si="245"/>
        <v>CUST-079</v>
      </c>
      <c r="EH80" t="str">
        <f t="shared" si="246"/>
        <v>public</v>
      </c>
      <c r="EI80" t="str">
        <f t="shared" si="247"/>
        <v>PRD-079-20Jul25</v>
      </c>
      <c r="EJ80" t="str">
        <f t="shared" si="248"/>
        <v>Retail</v>
      </c>
    </row>
    <row r="81" spans="1:140" x14ac:dyDescent="0.3">
      <c r="A81" t="s">
        <v>1044</v>
      </c>
      <c r="B81" t="s">
        <v>1550</v>
      </c>
      <c r="C81" t="s">
        <v>1496</v>
      </c>
      <c r="D81" t="s">
        <v>1045</v>
      </c>
      <c r="E81" t="s">
        <v>1046</v>
      </c>
      <c r="F81" t="s">
        <v>1047</v>
      </c>
      <c r="G81" t="s">
        <v>1048</v>
      </c>
      <c r="H81" t="s">
        <v>1688</v>
      </c>
      <c r="I81" t="s">
        <v>1594</v>
      </c>
      <c r="J81">
        <v>363641</v>
      </c>
      <c r="K81" t="str">
        <f t="shared" si="138"/>
        <v>MORBI, Gujarat,363641</v>
      </c>
      <c r="L81" t="s">
        <v>1049</v>
      </c>
      <c r="M81" t="s">
        <v>1050</v>
      </c>
      <c r="N81" t="s">
        <v>1051</v>
      </c>
      <c r="O81" t="s">
        <v>36</v>
      </c>
      <c r="P81" t="s">
        <v>1052</v>
      </c>
      <c r="Q81" t="s">
        <v>1053</v>
      </c>
      <c r="R81" t="s">
        <v>1054</v>
      </c>
      <c r="S81" t="s">
        <v>1055</v>
      </c>
      <c r="T81" t="s">
        <v>1056</v>
      </c>
      <c r="U81" t="str">
        <f t="shared" si="129"/>
        <v xml:space="preserve">  BHARTI CHOPRA</v>
      </c>
      <c r="V81" t="str">
        <f t="shared" si="130"/>
        <v>bharti_chopra@email.in</v>
      </c>
      <c r="W81" t="str">
        <f t="shared" si="139"/>
        <v>Morbi</v>
      </c>
      <c r="X81" t="str">
        <f t="shared" si="131"/>
        <v>BHARTI chopra</v>
      </c>
      <c r="Y81" t="str">
        <f t="shared" si="140"/>
        <v>WHOLESALE</v>
      </c>
      <c r="Z81" t="str">
        <f t="shared" si="141"/>
        <v>splitter store india</v>
      </c>
      <c r="AA81" t="str">
        <f t="shared" si="142"/>
        <v>Av Technician</v>
      </c>
      <c r="AB81" t="str">
        <f t="shared" si="132"/>
        <v>741 Darbar Gadh</v>
      </c>
      <c r="AC81" t="str">
        <f t="shared" si="143"/>
        <v>DEPT-AV-080</v>
      </c>
      <c r="AD81" t="str">
        <f t="shared" si="144"/>
        <v>Hdmi Splitter 1X4</v>
      </c>
      <c r="AE81" t="str">
        <f t="shared" si="145"/>
        <v>www.splitters.in</v>
      </c>
      <c r="AF81" t="str">
        <f t="shared" si="146"/>
        <v>4K support required</v>
      </c>
      <c r="AG81" t="str">
        <f t="shared" si="133"/>
        <v>CUST080</v>
      </c>
      <c r="AH81" t="str">
        <f t="shared" si="147"/>
        <v>PRD-SPLITTER-080</v>
      </c>
      <c r="AI81" t="str">
        <f t="shared" si="134"/>
        <v xml:space="preserve">  Bharti Chopra</v>
      </c>
      <c r="AJ81" t="str">
        <f t="shared" si="135"/>
        <v>02822-34567</v>
      </c>
      <c r="AK81" t="str">
        <f t="shared" si="148"/>
        <v>wholesale</v>
      </c>
      <c r="AL81" t="str">
        <f t="shared" si="149"/>
        <v>Splitter Store India</v>
      </c>
      <c r="AM81" t="str">
        <f t="shared" si="136"/>
        <v>bharti_chopra@email.in</v>
      </c>
      <c r="AN81" t="str">
        <f t="shared" si="150"/>
        <v>AV TECHNICIAN</v>
      </c>
      <c r="AO81" t="str">
        <f t="shared" si="137"/>
        <v>cust080-  BHARTI chopra</v>
      </c>
      <c r="AP81" t="str">
        <f t="shared" si="151"/>
        <v>BHARTI chopra</v>
      </c>
      <c r="AQ81" t="str">
        <f t="shared" si="152"/>
        <v>MORBI, Gujarat</v>
      </c>
      <c r="AR81" t="str">
        <f t="shared" si="153"/>
        <v>PRD-SPLITTER-080:hdmi SPLITTER 1x4</v>
      </c>
      <c r="AS81" t="str">
        <f t="shared" si="154"/>
        <v>bharti_chopra@email.in|02822-34567</v>
      </c>
      <c r="AT81" t="str">
        <f t="shared" si="155"/>
        <v>SPLITTER store INDIA-AV Technician</v>
      </c>
      <c r="AU81" t="str">
        <f t="shared" si="156"/>
        <v>wholesale 27-Jul-2025</v>
      </c>
      <c r="AV81" t="str">
        <f t="shared" si="157"/>
        <v xml:space="preserve">  741 Darbar Gadh  ,MORBI, Gujarat,363641</v>
      </c>
      <c r="AW81" t="str">
        <f t="shared" si="158"/>
        <v>DEPT-AV-080_AV Technician</v>
      </c>
      <c r="AX81" t="str">
        <f t="shared" si="159"/>
        <v>Customer ID:cust080</v>
      </c>
      <c r="AY81" t="str">
        <f t="shared" si="160"/>
        <v>Email:bharti_chopra@email.in</v>
      </c>
      <c r="AZ81" t="str">
        <f t="shared" si="161"/>
        <v>www.splitters.in/contact</v>
      </c>
      <c r="BA81" t="str">
        <f t="shared" si="162"/>
        <v>Order Placed On 27-Jul-2025</v>
      </c>
      <c r="BB81" t="str">
        <f t="shared" si="163"/>
        <v xml:space="preserve">  BHARTI chopra(wholesale)</v>
      </c>
      <c r="BC81" t="str">
        <f t="shared" si="164"/>
        <v>PRD-SPLITTER-080/hdmi SPLITTER 1x4</v>
      </c>
      <c r="BD81" t="str">
        <f t="shared" si="165"/>
        <v>call 02822-34567</v>
      </c>
      <c r="BE81" t="str">
        <f t="shared" si="166"/>
        <v>SPLITTER store INDIA-DEPT-AV-080</v>
      </c>
      <c r="BF81" t="str">
        <f t="shared" si="167"/>
        <v>cust080-80</v>
      </c>
      <c r="BG81" t="str">
        <f t="shared" si="168"/>
        <v>Customer:   BHARTI chopra,Type: wholesale</v>
      </c>
      <c r="BH81" t="str">
        <f t="shared" si="169"/>
        <v>MORBI,india</v>
      </c>
      <c r="BI81" t="str">
        <f t="shared" si="170"/>
        <v>cust</v>
      </c>
      <c r="BJ81" t="str">
        <f t="shared" si="171"/>
        <v>bharti_cho</v>
      </c>
      <c r="BK81" t="str">
        <f t="shared" si="172"/>
        <v xml:space="preserve">BHARTI </v>
      </c>
      <c r="BL81" t="str">
        <f t="shared" si="173"/>
        <v>PRD-S</v>
      </c>
      <c r="BM81" t="str">
        <f t="shared" si="174"/>
        <v>who</v>
      </c>
      <c r="BN81" t="str">
        <f t="shared" si="175"/>
        <v>02822-34</v>
      </c>
      <c r="BO81" t="str">
        <f t="shared" si="176"/>
        <v>email.in</v>
      </c>
      <c r="BP81" t="str">
        <f t="shared" si="177"/>
        <v>MORBI</v>
      </c>
      <c r="BQ81" t="str">
        <f t="shared" si="178"/>
        <v>t080</v>
      </c>
      <c r="BR81" t="str">
        <f t="shared" si="179"/>
        <v>chopra</v>
      </c>
      <c r="BS81" t="str">
        <f t="shared" si="180"/>
        <v>ER-080</v>
      </c>
      <c r="BU81" t="str">
        <f t="shared" si="181"/>
        <v>34567</v>
      </c>
      <c r="BV81" t="str">
        <f t="shared" si="182"/>
        <v>363641</v>
      </c>
      <c r="BW81" t="str">
        <f t="shared" si="183"/>
        <v xml:space="preserve"> Gujarat</v>
      </c>
      <c r="BX81" t="str">
        <f t="shared" si="184"/>
        <v>080</v>
      </c>
      <c r="BY81" t="str">
        <f t="shared" si="185"/>
        <v>AV</v>
      </c>
      <c r="BZ81" t="str">
        <f t="shared" si="186"/>
        <v>SPLITTER</v>
      </c>
      <c r="CA81" t="str">
        <f t="shared" si="187"/>
        <v>Jul</v>
      </c>
      <c r="CB81" t="str">
        <f t="shared" si="188"/>
        <v>LITTE</v>
      </c>
      <c r="CC81">
        <f t="shared" si="189"/>
        <v>14</v>
      </c>
      <c r="CD81">
        <f t="shared" si="190"/>
        <v>15</v>
      </c>
      <c r="CE81">
        <f t="shared" si="191"/>
        <v>22</v>
      </c>
      <c r="CF81">
        <f t="shared" si="192"/>
        <v>1</v>
      </c>
      <c r="CG81">
        <f t="shared" si="193"/>
        <v>17</v>
      </c>
      <c r="CH81">
        <f t="shared" si="194"/>
        <v>6</v>
      </c>
      <c r="CI81">
        <f t="shared" si="195"/>
        <v>7</v>
      </c>
      <c r="CJ81">
        <f t="shared" si="196"/>
        <v>1</v>
      </c>
      <c r="CK81">
        <f t="shared" si="197"/>
        <v>11</v>
      </c>
      <c r="CL81">
        <f t="shared" si="198"/>
        <v>4</v>
      </c>
      <c r="CM81">
        <f t="shared" si="199"/>
        <v>19</v>
      </c>
      <c r="CN81">
        <f t="shared" si="200"/>
        <v>20</v>
      </c>
      <c r="CO81">
        <f t="shared" si="201"/>
        <v>20</v>
      </c>
      <c r="CP81">
        <f t="shared" si="202"/>
        <v>13</v>
      </c>
      <c r="CQ81">
        <f t="shared" si="203"/>
        <v>11</v>
      </c>
      <c r="CR81" t="str">
        <f t="shared" si="204"/>
        <v>not found</v>
      </c>
      <c r="CS81">
        <f t="shared" si="205"/>
        <v>9</v>
      </c>
      <c r="CT81">
        <f t="shared" si="206"/>
        <v>13</v>
      </c>
      <c r="CU81">
        <f t="shared" si="207"/>
        <v>19</v>
      </c>
      <c r="CV81">
        <f t="shared" si="208"/>
        <v>3</v>
      </c>
      <c r="CW81" t="str">
        <f t="shared" si="209"/>
        <v>Customer ID080</v>
      </c>
      <c r="CX81" t="str">
        <f t="shared" si="210"/>
        <v>bharti_chopra[AT]email.in</v>
      </c>
      <c r="CY81" t="str">
        <f t="shared" si="211"/>
        <v>Product-SPLITTER-080</v>
      </c>
      <c r="CZ81" t="str">
        <f t="shared" si="212"/>
        <v>PRD_SPLITTER_080</v>
      </c>
      <c r="DA81" t="str">
        <f t="shared" si="213"/>
        <v>DEPARTMENT-AV-080</v>
      </c>
      <c r="DB81" t="str">
        <f t="shared" si="214"/>
        <v>BHARTI_CHOPRA@EMAIL.IN</v>
      </c>
      <c r="DC81" t="str">
        <f t="shared" si="215"/>
        <v>https://www..SPLITTERS.IN</v>
      </c>
      <c r="DD81" t="str">
        <f t="shared" si="216"/>
        <v>//BHARTI/chopra</v>
      </c>
      <c r="DE81" t="str">
        <f t="shared" si="217"/>
        <v>wholesale</v>
      </c>
      <c r="DF81" t="str">
        <f t="shared" si="218"/>
        <v>MORBI; Gujarat;363641</v>
      </c>
      <c r="DG81" t="str">
        <f t="shared" si="219"/>
        <v>AV Technician</v>
      </c>
      <c r="DH81" t="str">
        <f t="shared" si="220"/>
        <v>02822-34567</v>
      </c>
      <c r="DI81" t="str">
        <f t="shared" si="221"/>
        <v>SPLITTER store INDIA</v>
      </c>
      <c r="DJ81" t="str">
        <f t="shared" si="222"/>
        <v>www.splitters.in</v>
      </c>
      <c r="DK81" t="str">
        <f t="shared" si="223"/>
        <v xml:space="preserve">    741  Darbar  Gadh    </v>
      </c>
      <c r="DL81" t="str">
        <f t="shared" si="224"/>
        <v>bharti_chopra</v>
      </c>
      <c r="DM81" t="str">
        <f t="shared" si="225"/>
        <v>BHARTI.chopra@SPLITTER store INDIA.com</v>
      </c>
      <c r="DN81" t="str">
        <f t="shared" si="226"/>
        <v>BHARTI</v>
      </c>
      <c r="DO81" t="str">
        <f t="shared" si="227"/>
        <v>chopra</v>
      </c>
      <c r="DP81" t="str">
        <f t="shared" si="228"/>
        <v>chopra,BHARTI</v>
      </c>
      <c r="DQ81" t="str">
        <f t="shared" si="229"/>
        <v>Name has13characters</v>
      </c>
      <c r="DR81" t="str">
        <f t="shared" si="230"/>
        <v>Check Domain</v>
      </c>
      <c r="DS81" t="str">
        <f t="shared" si="231"/>
        <v>0282</v>
      </c>
      <c r="DT81" t="str">
        <f t="shared" si="232"/>
        <v>cus080</v>
      </c>
      <c r="DU81" t="str">
        <f t="shared" si="233"/>
        <v>Bchopra</v>
      </c>
      <c r="DV81" t="str">
        <f t="shared" si="234"/>
        <v>PRD080</v>
      </c>
      <c r="DW81" t="str">
        <f t="shared" si="235"/>
        <v>02822-34567</v>
      </c>
      <c r="DX81" t="str">
        <f t="shared" si="236"/>
        <v>2025</v>
      </c>
      <c r="DY81" t="str">
        <f t="shared" si="237"/>
        <v>B</v>
      </c>
      <c r="DZ81" t="str">
        <f t="shared" si="238"/>
        <v>BHARTIchopra@SPLITTER store INDIA.com</v>
      </c>
      <c r="EA81" t="str">
        <f t="shared" si="239"/>
        <v>Wholesale</v>
      </c>
      <c r="EB81" t="str">
        <f t="shared" si="240"/>
        <v>email.in</v>
      </c>
      <c r="EC81">
        <f t="shared" si="241"/>
        <v>17</v>
      </c>
      <c r="ED81" t="str">
        <f t="shared" si="242"/>
        <v>MO80</v>
      </c>
      <c r="EE81" t="str">
        <f t="shared" si="243"/>
        <v>MORBI- Gujarat(363641)</v>
      </c>
      <c r="EF81" t="str">
        <f t="shared" si="244"/>
        <v>0282234567</v>
      </c>
      <c r="EG81" t="str">
        <f t="shared" si="245"/>
        <v>CUST-080</v>
      </c>
      <c r="EH81" t="str">
        <f t="shared" si="246"/>
        <v>public</v>
      </c>
      <c r="EI81" t="str">
        <f t="shared" si="247"/>
        <v>PRD-080-27Jul25</v>
      </c>
      <c r="EJ81" t="str">
        <f t="shared" si="248"/>
        <v>Wholesale</v>
      </c>
    </row>
    <row r="82" spans="1:140" x14ac:dyDescent="0.3">
      <c r="A82" t="s">
        <v>1057</v>
      </c>
      <c r="B82" t="s">
        <v>1551</v>
      </c>
      <c r="C82" t="s">
        <v>1498</v>
      </c>
      <c r="D82" t="s">
        <v>1058</v>
      </c>
      <c r="E82" t="s">
        <v>1059</v>
      </c>
      <c r="F82" t="s">
        <v>1060</v>
      </c>
      <c r="G82" t="s">
        <v>1061</v>
      </c>
      <c r="H82" t="s">
        <v>1689</v>
      </c>
      <c r="I82" t="s">
        <v>1629</v>
      </c>
      <c r="J82">
        <v>384001</v>
      </c>
      <c r="K82" t="str">
        <f t="shared" si="138"/>
        <v>Mehsana, GUJARAT,384001</v>
      </c>
      <c r="L82" t="s">
        <v>1062</v>
      </c>
      <c r="M82" t="s">
        <v>1063</v>
      </c>
      <c r="N82" t="s">
        <v>1064</v>
      </c>
      <c r="O82" t="s">
        <v>132</v>
      </c>
      <c r="P82" t="s">
        <v>1065</v>
      </c>
      <c r="Q82" t="s">
        <v>1066</v>
      </c>
      <c r="R82" t="s">
        <v>1067</v>
      </c>
      <c r="S82" t="s">
        <v>1068</v>
      </c>
      <c r="T82" t="s">
        <v>1069</v>
      </c>
      <c r="U82" t="str">
        <f t="shared" si="129"/>
        <v xml:space="preserve">RAJAN BHATIA  </v>
      </c>
      <c r="V82" t="str">
        <f t="shared" si="130"/>
        <v>rajan.bhatia@company.com</v>
      </c>
      <c r="W82" t="str">
        <f t="shared" si="139"/>
        <v>Mehsana</v>
      </c>
      <c r="X82" t="str">
        <f t="shared" si="131"/>
        <v>rajan BHATIA</v>
      </c>
      <c r="Y82" t="str">
        <f t="shared" si="140"/>
        <v>CORPORATE</v>
      </c>
      <c r="Z82" t="str">
        <f t="shared" si="141"/>
        <v xml:space="preserve">  video converter pro  </v>
      </c>
      <c r="AA82" t="str">
        <f t="shared" si="142"/>
        <v>Broadcast Head</v>
      </c>
      <c r="AB82" t="str">
        <f t="shared" si="132"/>
        <v>852 Highway Road</v>
      </c>
      <c r="AC82" t="str">
        <f t="shared" si="143"/>
        <v>DEPT-BROAD-081</v>
      </c>
      <c r="AD82" t="str">
        <f t="shared" si="144"/>
        <v>Blackmagic Micro Converter</v>
      </c>
      <c r="AE82" t="str">
        <f t="shared" si="145"/>
        <v>https://converters.in</v>
      </c>
      <c r="AF82" t="str">
        <f t="shared" si="146"/>
        <v>SDI to HDMI conversion</v>
      </c>
      <c r="AG82" t="str">
        <f t="shared" si="133"/>
        <v>CUST081</v>
      </c>
      <c r="AH82" t="str">
        <f t="shared" si="147"/>
        <v>PRD-CONV-081</v>
      </c>
      <c r="AI82" t="str">
        <f t="shared" si="134"/>
        <v xml:space="preserve">Rajan Bhatia  </v>
      </c>
      <c r="AJ82" t="str">
        <f t="shared" si="135"/>
        <v>+91-9988567890</v>
      </c>
      <c r="AK82" t="str">
        <f t="shared" si="148"/>
        <v>corporate</v>
      </c>
      <c r="AL82" t="str">
        <f t="shared" si="149"/>
        <v>Video Converter Pro</v>
      </c>
      <c r="AM82" t="str">
        <f t="shared" si="136"/>
        <v>rajan.bhatia@company.com</v>
      </c>
      <c r="AN82" t="str">
        <f t="shared" si="150"/>
        <v>BROADCAST HEAD</v>
      </c>
      <c r="AO82" t="str">
        <f t="shared" si="137"/>
        <v xml:space="preserve">Cust081-rajan BHATIA  </v>
      </c>
      <c r="AP82" t="str">
        <f t="shared" si="151"/>
        <v>rajan BHATIA</v>
      </c>
      <c r="AQ82" t="str">
        <f t="shared" si="152"/>
        <v>Mehsana, GUJARAT</v>
      </c>
      <c r="AR82" t="str">
        <f t="shared" si="153"/>
        <v>prd-conv-081:BLACKMAGIC micro CONVERTER</v>
      </c>
      <c r="AS82" t="str">
        <f t="shared" si="154"/>
        <v>RAJAN.BHATIA@COMPANY.COM|+91-9988567890</v>
      </c>
      <c r="AT82" t="str">
        <f t="shared" si="155"/>
        <v xml:space="preserve">  VIDEO converter PRO  -BROADCAST HEAD</v>
      </c>
      <c r="AU82" t="str">
        <f t="shared" si="156"/>
        <v>Corporate 03-Aug-2025</v>
      </c>
      <c r="AV82" t="str">
        <f t="shared" si="157"/>
        <v>852 Highway Road,Mehsana, GUJARAT,384001</v>
      </c>
      <c r="AW82" t="str">
        <f t="shared" si="158"/>
        <v>dept-broad-081_BROADCAST HEAD</v>
      </c>
      <c r="AX82" t="str">
        <f t="shared" si="159"/>
        <v>Customer ID:Cust081</v>
      </c>
      <c r="AY82" t="str">
        <f t="shared" si="160"/>
        <v>Email:RAJAN.BHATIA@COMPANY.COM</v>
      </c>
      <c r="AZ82" t="str">
        <f t="shared" si="161"/>
        <v>https://converters.in/contact</v>
      </c>
      <c r="BA82" t="str">
        <f t="shared" si="162"/>
        <v>Order Placed On 03-Aug-2025</v>
      </c>
      <c r="BB82" t="str">
        <f t="shared" si="163"/>
        <v>rajan BHATIA  (Corporate)</v>
      </c>
      <c r="BC82" t="str">
        <f t="shared" si="164"/>
        <v>prd-conv-081/BLACKMAGIC micro CONVERTER</v>
      </c>
      <c r="BD82" t="str">
        <f t="shared" si="165"/>
        <v>call +91-9988567890</v>
      </c>
      <c r="BE82" t="str">
        <f t="shared" si="166"/>
        <v xml:space="preserve">  VIDEO converter PRO  -dept-broad-081</v>
      </c>
      <c r="BF82" t="str">
        <f t="shared" si="167"/>
        <v>Cust081-81</v>
      </c>
      <c r="BG82" t="str">
        <f t="shared" si="168"/>
        <v>Customer: rajan BHATIA  ,Type: Corporate</v>
      </c>
      <c r="BH82" t="str">
        <f t="shared" si="169"/>
        <v>Mehsana,india</v>
      </c>
      <c r="BI82" t="str">
        <f t="shared" si="170"/>
        <v>Cust</v>
      </c>
      <c r="BJ82" t="str">
        <f t="shared" si="171"/>
        <v>RAJAN.BHAT</v>
      </c>
      <c r="BK82" t="str">
        <f t="shared" si="172"/>
        <v xml:space="preserve">rajan </v>
      </c>
      <c r="BL82" t="str">
        <f t="shared" si="173"/>
        <v>prd-c</v>
      </c>
      <c r="BM82" t="str">
        <f t="shared" si="174"/>
        <v>Cor</v>
      </c>
      <c r="BN82" t="str">
        <f t="shared" si="175"/>
        <v>+91-9988</v>
      </c>
      <c r="BO82" t="str">
        <f t="shared" si="176"/>
        <v>COMPANY.COM</v>
      </c>
      <c r="BP82" t="str">
        <f t="shared" si="177"/>
        <v>Mehsana</v>
      </c>
      <c r="BQ82" t="str">
        <f t="shared" si="178"/>
        <v>t081</v>
      </c>
      <c r="BR82" t="str">
        <f t="shared" si="179"/>
        <v>HATIA</v>
      </c>
      <c r="BS82" t="str">
        <f t="shared" si="180"/>
        <v>nv-081</v>
      </c>
      <c r="BU82" t="str">
        <f t="shared" si="181"/>
        <v>67890</v>
      </c>
      <c r="BV82" t="str">
        <f t="shared" si="182"/>
        <v>384001</v>
      </c>
      <c r="BW82" t="str">
        <f t="shared" si="183"/>
        <v xml:space="preserve"> GUJARAT</v>
      </c>
      <c r="BX82" t="str">
        <f t="shared" si="184"/>
        <v>081</v>
      </c>
      <c r="BY82" t="str">
        <f t="shared" si="185"/>
        <v>broad</v>
      </c>
      <c r="BZ82" t="str">
        <f t="shared" si="186"/>
        <v>conv</v>
      </c>
      <c r="CA82" t="str">
        <f t="shared" si="187"/>
        <v>Aug</v>
      </c>
      <c r="CB82" t="str">
        <f t="shared" si="188"/>
        <v>VIDEO</v>
      </c>
      <c r="CC82">
        <f t="shared" si="189"/>
        <v>13</v>
      </c>
      <c r="CD82">
        <f t="shared" si="190"/>
        <v>14</v>
      </c>
      <c r="CE82">
        <f t="shared" si="191"/>
        <v>24</v>
      </c>
      <c r="CF82">
        <f t="shared" si="192"/>
        <v>6</v>
      </c>
      <c r="CG82">
        <f t="shared" si="193"/>
        <v>26</v>
      </c>
      <c r="CH82">
        <f t="shared" si="194"/>
        <v>8</v>
      </c>
      <c r="CI82">
        <f t="shared" si="195"/>
        <v>7</v>
      </c>
      <c r="CJ82" t="str">
        <f t="shared" si="196"/>
        <v>Not found</v>
      </c>
      <c r="CK82">
        <f t="shared" si="197"/>
        <v>14</v>
      </c>
      <c r="CL82">
        <f t="shared" si="198"/>
        <v>4</v>
      </c>
      <c r="CM82">
        <f t="shared" si="199"/>
        <v>16</v>
      </c>
      <c r="CN82">
        <f t="shared" si="200"/>
        <v>6</v>
      </c>
      <c r="CO82">
        <f t="shared" si="201"/>
        <v>19</v>
      </c>
      <c r="CP82">
        <f t="shared" si="202"/>
        <v>9</v>
      </c>
      <c r="CQ82">
        <f t="shared" si="203"/>
        <v>14</v>
      </c>
      <c r="CR82">
        <f t="shared" si="204"/>
        <v>7</v>
      </c>
      <c r="CS82">
        <f t="shared" si="205"/>
        <v>9</v>
      </c>
      <c r="CT82">
        <f t="shared" si="206"/>
        <v>9</v>
      </c>
      <c r="CU82">
        <f t="shared" si="207"/>
        <v>22</v>
      </c>
      <c r="CV82">
        <f t="shared" si="208"/>
        <v>3</v>
      </c>
      <c r="CW82" t="str">
        <f t="shared" si="209"/>
        <v>Customer ID081</v>
      </c>
      <c r="CX82" t="str">
        <f t="shared" si="210"/>
        <v>RAJAN.BHATIA[AT]COMPANY.COM</v>
      </c>
      <c r="CY82" t="str">
        <f t="shared" si="211"/>
        <v>Product-CONV-081</v>
      </c>
      <c r="CZ82" t="str">
        <f t="shared" si="212"/>
        <v>prd_conv_081</v>
      </c>
      <c r="DA82" t="str">
        <f t="shared" si="213"/>
        <v>DEPARTMENT-BROAD-081</v>
      </c>
      <c r="DB82" t="str">
        <f t="shared" si="214"/>
        <v>RAJAN.BHATIA@COMPANY.in</v>
      </c>
      <c r="DC82" t="str">
        <f t="shared" si="215"/>
        <v>HTTPS://CONVERTERS.IN</v>
      </c>
      <c r="DD82" t="str">
        <f t="shared" si="216"/>
        <v>rajan/BHATIA//</v>
      </c>
      <c r="DE82" t="str">
        <f t="shared" si="217"/>
        <v>Corporate</v>
      </c>
      <c r="DF82" t="str">
        <f t="shared" si="218"/>
        <v>Mehsana; GUJARAT;384001</v>
      </c>
      <c r="DG82" t="str">
        <f t="shared" si="219"/>
        <v>BROADCAST HEAD</v>
      </c>
      <c r="DH82" t="str">
        <f t="shared" si="220"/>
        <v>+91-9988567890</v>
      </c>
      <c r="DI82" t="str">
        <f t="shared" si="221"/>
        <v xml:space="preserve">  VIDEO converter PRO  </v>
      </c>
      <c r="DJ82" t="str">
        <f t="shared" si="222"/>
        <v>https:://converters.in</v>
      </c>
      <c r="DK82" t="str">
        <f t="shared" si="223"/>
        <v>852  Highway  Road</v>
      </c>
      <c r="DL82" t="str">
        <f t="shared" si="224"/>
        <v>RAJAN.BHATIA</v>
      </c>
      <c r="DM82" t="str">
        <f t="shared" si="225"/>
        <v>rajan.BHATIA@  VIDEO converter PRO  .com</v>
      </c>
      <c r="DN82" t="str">
        <f t="shared" si="226"/>
        <v>rajan</v>
      </c>
      <c r="DO82" t="str">
        <f t="shared" si="227"/>
        <v>BHATIA</v>
      </c>
      <c r="DP82" t="str">
        <f t="shared" si="228"/>
        <v>BHATIA,rajan</v>
      </c>
      <c r="DQ82" t="str">
        <f t="shared" si="229"/>
        <v>Name has12characters</v>
      </c>
      <c r="DR82" t="str">
        <f t="shared" si="230"/>
        <v>Valid</v>
      </c>
      <c r="DS82" t="str">
        <f t="shared" si="231"/>
        <v>+91-</v>
      </c>
      <c r="DT82" t="str">
        <f t="shared" si="232"/>
        <v>Cus081</v>
      </c>
      <c r="DU82" t="str">
        <f t="shared" si="233"/>
        <v>rbhatia</v>
      </c>
      <c r="DV82" t="str">
        <f t="shared" si="234"/>
        <v>prd081</v>
      </c>
      <c r="DW82" t="str">
        <f t="shared" si="235"/>
        <v>+91-9988567890</v>
      </c>
      <c r="DX82" t="str">
        <f t="shared" si="236"/>
        <v>2025</v>
      </c>
      <c r="DY82" t="str">
        <f t="shared" si="237"/>
        <v>r</v>
      </c>
      <c r="DZ82" t="str">
        <f t="shared" si="238"/>
        <v>rajanBHATIA@  VIDEO converter PRO  .com</v>
      </c>
      <c r="EA82" t="str">
        <f t="shared" si="239"/>
        <v/>
      </c>
      <c r="EB82" t="str">
        <f t="shared" si="240"/>
        <v>COMPANY.COM</v>
      </c>
      <c r="EC82">
        <f t="shared" si="241"/>
        <v>26</v>
      </c>
      <c r="ED82" t="str">
        <f t="shared" si="242"/>
        <v>Me81</v>
      </c>
      <c r="EE82" t="str">
        <f t="shared" si="243"/>
        <v>Mehsana- GUJARAT(384001)</v>
      </c>
      <c r="EF82" t="str">
        <f t="shared" si="244"/>
        <v>919988567890</v>
      </c>
      <c r="EG82" t="str">
        <f t="shared" si="245"/>
        <v>CUST-081</v>
      </c>
      <c r="EH82" t="str">
        <f t="shared" si="246"/>
        <v>public</v>
      </c>
      <c r="EI82" t="str">
        <f t="shared" si="247"/>
        <v>PRD-081-03Aug25</v>
      </c>
      <c r="EJ82" t="str">
        <f t="shared" si="248"/>
        <v>Corporate</v>
      </c>
    </row>
    <row r="83" spans="1:140" x14ac:dyDescent="0.3">
      <c r="A83" t="s">
        <v>1070</v>
      </c>
      <c r="B83" t="s">
        <v>1552</v>
      </c>
      <c r="C83" t="s">
        <v>1475</v>
      </c>
      <c r="D83" t="s">
        <v>1071</v>
      </c>
      <c r="E83" t="s">
        <v>1072</v>
      </c>
      <c r="F83" t="s">
        <v>1073</v>
      </c>
      <c r="G83" t="s">
        <v>1074</v>
      </c>
      <c r="H83" t="s">
        <v>1690</v>
      </c>
      <c r="I83" t="s">
        <v>1629</v>
      </c>
      <c r="J83">
        <v>363001</v>
      </c>
      <c r="K83" t="str">
        <f t="shared" si="138"/>
        <v>surendranagar, GUJARAT,363001</v>
      </c>
      <c r="L83" t="s">
        <v>1075</v>
      </c>
      <c r="M83" t="s">
        <v>1076</v>
      </c>
      <c r="N83" t="s">
        <v>1077</v>
      </c>
      <c r="O83" t="s">
        <v>78</v>
      </c>
      <c r="P83" t="s">
        <v>1078</v>
      </c>
      <c r="Q83" t="s">
        <v>1079</v>
      </c>
      <c r="R83" t="s">
        <v>1080</v>
      </c>
      <c r="S83" t="s">
        <v>1081</v>
      </c>
      <c r="T83" t="s">
        <v>1082</v>
      </c>
      <c r="U83" t="str">
        <f t="shared" si="129"/>
        <v>CHITRA KUMAR</v>
      </c>
      <c r="V83" t="str">
        <f t="shared" si="130"/>
        <v>chitra.kumar@mail.in</v>
      </c>
      <c r="W83" t="str">
        <f t="shared" si="139"/>
        <v>Surendranagar</v>
      </c>
      <c r="X83" t="str">
        <f t="shared" si="131"/>
        <v>chitra kumar</v>
      </c>
      <c r="Y83" t="str">
        <f t="shared" si="140"/>
        <v>RETAIL</v>
      </c>
      <c r="Z83" t="str">
        <f t="shared" si="141"/>
        <v>monitor world broadcast</v>
      </c>
      <c r="AA83" t="str">
        <f t="shared" si="142"/>
        <v>Video Director</v>
      </c>
      <c r="AB83" t="str">
        <f t="shared" si="132"/>
        <v>963 ST Road</v>
      </c>
      <c r="AC83" t="str">
        <f t="shared" si="143"/>
        <v>DEPT-VIDEO-082</v>
      </c>
      <c r="AD83" t="str">
        <f t="shared" si="144"/>
        <v>Blackmagic Video Assist Monitor</v>
      </c>
      <c r="AE83" t="str">
        <f t="shared" si="145"/>
        <v>www.monitors.com</v>
      </c>
      <c r="AF83" t="str">
        <f t="shared" si="146"/>
        <v>5 inch screen preferred</v>
      </c>
      <c r="AG83" t="str">
        <f t="shared" si="133"/>
        <v>CUST082</v>
      </c>
      <c r="AH83" t="str">
        <f t="shared" si="147"/>
        <v>PRD-MON-082</v>
      </c>
      <c r="AI83" t="str">
        <f t="shared" si="134"/>
        <v>Chitra Kumar</v>
      </c>
      <c r="AJ83" t="str">
        <f t="shared" si="135"/>
        <v>(02752) 98765-4321</v>
      </c>
      <c r="AK83" t="str">
        <f t="shared" si="148"/>
        <v>retail</v>
      </c>
      <c r="AL83" t="str">
        <f t="shared" si="149"/>
        <v>Monitor World Broadcast</v>
      </c>
      <c r="AM83" t="str">
        <f t="shared" si="136"/>
        <v>chitra.kumar@mail.in</v>
      </c>
      <c r="AN83" t="str">
        <f t="shared" si="150"/>
        <v>VIDEO DIRECTOR</v>
      </c>
      <c r="AO83" t="str">
        <f t="shared" si="137"/>
        <v>CUST082-chitra kumar</v>
      </c>
      <c r="AP83" t="str">
        <f t="shared" si="151"/>
        <v>chitra kumar</v>
      </c>
      <c r="AQ83" t="str">
        <f t="shared" si="152"/>
        <v>surendranagar, GUJARAT</v>
      </c>
      <c r="AR83" t="str">
        <f t="shared" si="153"/>
        <v>prd-mon-082:BLACKMAGIC video ASSIST monitor</v>
      </c>
      <c r="AS83" t="str">
        <f t="shared" si="154"/>
        <v>chitra.kumar@mail.in|(02752) 98765-4321</v>
      </c>
      <c r="AT83" t="str">
        <f t="shared" si="155"/>
        <v>monitor WORLD broadcast-Video Director</v>
      </c>
      <c r="AU83" t="str">
        <f t="shared" si="156"/>
        <v>retail 10-Aug-2025</v>
      </c>
      <c r="AV83" t="str">
        <f t="shared" si="157"/>
        <v>963 ST Road,surendranagar, GUJARAT,363001</v>
      </c>
      <c r="AW83" t="str">
        <f t="shared" si="158"/>
        <v>dept-video-082_Video Director</v>
      </c>
      <c r="AX83" t="str">
        <f t="shared" si="159"/>
        <v>Customer ID:CUST082</v>
      </c>
      <c r="AY83" t="str">
        <f t="shared" si="160"/>
        <v>Email:chitra.kumar@mail.in</v>
      </c>
      <c r="AZ83" t="str">
        <f t="shared" si="161"/>
        <v>WWW.MONITORS.COM/contact</v>
      </c>
      <c r="BA83" t="str">
        <f t="shared" si="162"/>
        <v>Order Placed On 10-Aug-2025</v>
      </c>
      <c r="BB83" t="str">
        <f t="shared" si="163"/>
        <v>chitra kumar(retail)</v>
      </c>
      <c r="BC83" t="str">
        <f t="shared" si="164"/>
        <v>prd-mon-082/BLACKMAGIC video ASSIST monitor</v>
      </c>
      <c r="BD83" t="str">
        <f t="shared" si="165"/>
        <v>call (02752) 98765-4321</v>
      </c>
      <c r="BE83" t="str">
        <f t="shared" si="166"/>
        <v>monitor WORLD broadcast-dept-video-082</v>
      </c>
      <c r="BF83" t="str">
        <f t="shared" si="167"/>
        <v>CUST082-82</v>
      </c>
      <c r="BG83" t="str">
        <f t="shared" si="168"/>
        <v>Customer: chitra kumar,Type: retail</v>
      </c>
      <c r="BH83" t="str">
        <f t="shared" si="169"/>
        <v>surendranagar,india</v>
      </c>
      <c r="BI83" t="str">
        <f t="shared" si="170"/>
        <v>CUST</v>
      </c>
      <c r="BJ83" t="str">
        <f t="shared" si="171"/>
        <v>chitra.kum</v>
      </c>
      <c r="BK83" t="str">
        <f t="shared" si="172"/>
        <v xml:space="preserve">chitra </v>
      </c>
      <c r="BL83" t="str">
        <f t="shared" si="173"/>
        <v>prd-m</v>
      </c>
      <c r="BM83" t="str">
        <f t="shared" si="174"/>
        <v>ret</v>
      </c>
      <c r="BN83" t="str">
        <f t="shared" si="175"/>
        <v xml:space="preserve">(02752) </v>
      </c>
      <c r="BO83" t="str">
        <f t="shared" si="176"/>
        <v>mail.in</v>
      </c>
      <c r="BP83" t="str">
        <f t="shared" si="177"/>
        <v>surendranagar</v>
      </c>
      <c r="BQ83" t="str">
        <f t="shared" si="178"/>
        <v>T082</v>
      </c>
      <c r="BR83" t="str">
        <f t="shared" si="179"/>
        <v xml:space="preserve"> kumar</v>
      </c>
      <c r="BS83" t="str">
        <f t="shared" si="180"/>
        <v>on-082</v>
      </c>
      <c r="BU83" t="str">
        <f t="shared" si="181"/>
        <v>-4321</v>
      </c>
      <c r="BV83" t="str">
        <f t="shared" si="182"/>
        <v>363001</v>
      </c>
      <c r="BW83" t="str">
        <f t="shared" si="183"/>
        <v xml:space="preserve"> GUJARAT</v>
      </c>
      <c r="BX83" t="str">
        <f t="shared" si="184"/>
        <v>082</v>
      </c>
      <c r="BY83" t="str">
        <f t="shared" si="185"/>
        <v>video</v>
      </c>
      <c r="BZ83" t="str">
        <f t="shared" si="186"/>
        <v>mon</v>
      </c>
      <c r="CA83" t="str">
        <f t="shared" si="187"/>
        <v>Aug</v>
      </c>
      <c r="CB83" t="str">
        <f t="shared" si="188"/>
        <v>nitor</v>
      </c>
      <c r="CC83">
        <f t="shared" si="189"/>
        <v>13</v>
      </c>
      <c r="CD83">
        <f t="shared" si="190"/>
        <v>12</v>
      </c>
      <c r="CE83">
        <f t="shared" si="191"/>
        <v>20</v>
      </c>
      <c r="CF83">
        <f t="shared" si="192"/>
        <v>7</v>
      </c>
      <c r="CG83">
        <f t="shared" si="193"/>
        <v>31</v>
      </c>
      <c r="CH83">
        <f t="shared" si="194"/>
        <v>14</v>
      </c>
      <c r="CI83">
        <f t="shared" si="195"/>
        <v>7</v>
      </c>
      <c r="CJ83" t="str">
        <f t="shared" si="196"/>
        <v>Not found</v>
      </c>
      <c r="CK83">
        <f t="shared" si="197"/>
        <v>18</v>
      </c>
      <c r="CL83">
        <f t="shared" si="198"/>
        <v>4</v>
      </c>
      <c r="CM83">
        <f t="shared" si="199"/>
        <v>11</v>
      </c>
      <c r="CN83">
        <f t="shared" si="200"/>
        <v>7</v>
      </c>
      <c r="CO83">
        <f t="shared" si="201"/>
        <v>23</v>
      </c>
      <c r="CP83">
        <f t="shared" si="202"/>
        <v>8</v>
      </c>
      <c r="CQ83">
        <f t="shared" si="203"/>
        <v>14</v>
      </c>
      <c r="CR83" t="str">
        <f t="shared" si="204"/>
        <v>not found</v>
      </c>
      <c r="CS83">
        <f t="shared" si="205"/>
        <v>6</v>
      </c>
      <c r="CT83">
        <f t="shared" si="206"/>
        <v>8</v>
      </c>
      <c r="CU83">
        <f t="shared" si="207"/>
        <v>27</v>
      </c>
      <c r="CV83">
        <f t="shared" si="208"/>
        <v>3</v>
      </c>
      <c r="CW83" t="str">
        <f t="shared" si="209"/>
        <v>Customer ID082</v>
      </c>
      <c r="CX83" t="str">
        <f t="shared" si="210"/>
        <v>chitra.kumar[AT]mail.in</v>
      </c>
      <c r="CY83" t="str">
        <f t="shared" si="211"/>
        <v>Product-MON-082</v>
      </c>
      <c r="CZ83" t="str">
        <f t="shared" si="212"/>
        <v>prd_mon_082</v>
      </c>
      <c r="DA83" t="str">
        <f t="shared" si="213"/>
        <v>DEPARTMENT-VIDEO-082</v>
      </c>
      <c r="DB83" t="str">
        <f t="shared" si="214"/>
        <v>CHITRA.KUMAR@MAIL.IN</v>
      </c>
      <c r="DC83" t="str">
        <f t="shared" si="215"/>
        <v>https://www..MONITORS.COM</v>
      </c>
      <c r="DD83" t="str">
        <f t="shared" si="216"/>
        <v>chitra/kumar</v>
      </c>
      <c r="DE83" t="str">
        <f t="shared" si="217"/>
        <v>RETAIL CUSTOMER</v>
      </c>
      <c r="DF83" t="str">
        <f t="shared" si="218"/>
        <v>surendranagar; GUJARAT;363001</v>
      </c>
      <c r="DG83" t="str">
        <f t="shared" si="219"/>
        <v>Video Director</v>
      </c>
      <c r="DH83" t="str">
        <f t="shared" si="220"/>
        <v xml:space="preserve"> 02752  98765-4321</v>
      </c>
      <c r="DI83" t="str">
        <f t="shared" si="221"/>
        <v>monitor WORLD broadcast</v>
      </c>
      <c r="DJ83" t="str">
        <f t="shared" si="222"/>
        <v>WWW.MONITORS.COM</v>
      </c>
      <c r="DK83" t="str">
        <f t="shared" si="223"/>
        <v>963  ST  Road</v>
      </c>
      <c r="DL83" t="str">
        <f t="shared" si="224"/>
        <v>chitra.kumar</v>
      </c>
      <c r="DM83" t="str">
        <f t="shared" si="225"/>
        <v>chitra.kumar@monitor WORLD broadcast.com</v>
      </c>
      <c r="DN83" t="str">
        <f t="shared" si="226"/>
        <v>chitra</v>
      </c>
      <c r="DO83" t="str">
        <f t="shared" si="227"/>
        <v>kumar</v>
      </c>
      <c r="DP83" t="str">
        <f t="shared" si="228"/>
        <v>kumar,chitra</v>
      </c>
      <c r="DQ83" t="str">
        <f t="shared" si="229"/>
        <v>Name has12characters</v>
      </c>
      <c r="DR83" t="str">
        <f t="shared" si="230"/>
        <v>Check Domain</v>
      </c>
      <c r="DS83" t="str">
        <f t="shared" si="231"/>
        <v>(027</v>
      </c>
      <c r="DT83" t="str">
        <f t="shared" si="232"/>
        <v>CUS082</v>
      </c>
      <c r="DU83" t="str">
        <f t="shared" si="233"/>
        <v>ckumar</v>
      </c>
      <c r="DV83" t="str">
        <f t="shared" si="234"/>
        <v>prd082</v>
      </c>
      <c r="DW83" t="str">
        <f t="shared" si="235"/>
        <v>(02752) 98765-4321</v>
      </c>
      <c r="DX83" t="str">
        <f t="shared" si="236"/>
        <v>2025</v>
      </c>
      <c r="DY83" t="str">
        <f t="shared" si="237"/>
        <v>c</v>
      </c>
      <c r="DZ83" t="str">
        <f t="shared" si="238"/>
        <v>chitrakumar@monitor WORLD broadcast.com</v>
      </c>
      <c r="EA83" t="str">
        <f t="shared" si="239"/>
        <v>Retail</v>
      </c>
      <c r="EB83" t="str">
        <f t="shared" si="240"/>
        <v>mail.in</v>
      </c>
      <c r="EC83">
        <f t="shared" si="241"/>
        <v>31</v>
      </c>
      <c r="ED83" t="str">
        <f t="shared" si="242"/>
        <v>su82</v>
      </c>
      <c r="EE83" t="str">
        <f t="shared" si="243"/>
        <v>surendranagar- GUJARAT(363001)</v>
      </c>
      <c r="EF83" t="str">
        <f t="shared" si="244"/>
        <v>02752987654321</v>
      </c>
      <c r="EG83" t="str">
        <f t="shared" si="245"/>
        <v>CUST-082</v>
      </c>
      <c r="EH83" t="str">
        <f t="shared" si="246"/>
        <v>public</v>
      </c>
      <c r="EI83" t="str">
        <f t="shared" si="247"/>
        <v>PRD-082-10Aug25</v>
      </c>
      <c r="EJ83" t="str">
        <f t="shared" si="248"/>
        <v>Retail</v>
      </c>
    </row>
    <row r="84" spans="1:140" x14ac:dyDescent="0.3">
      <c r="A84" t="s">
        <v>1083</v>
      </c>
      <c r="B84" t="s">
        <v>1553</v>
      </c>
      <c r="C84" t="s">
        <v>1462</v>
      </c>
      <c r="D84" t="s">
        <v>1084</v>
      </c>
      <c r="E84" t="s">
        <v>1085</v>
      </c>
      <c r="F84" t="s">
        <v>1086</v>
      </c>
      <c r="G84" t="s">
        <v>1087</v>
      </c>
      <c r="H84" t="s">
        <v>1691</v>
      </c>
      <c r="I84" t="s">
        <v>1594</v>
      </c>
      <c r="J84">
        <v>385001</v>
      </c>
      <c r="K84" t="str">
        <f t="shared" si="138"/>
        <v>PALANPUR, Gujarat,385001</v>
      </c>
      <c r="L84" t="s">
        <v>1088</v>
      </c>
      <c r="M84" t="s">
        <v>1089</v>
      </c>
      <c r="N84" t="s">
        <v>1090</v>
      </c>
      <c r="O84" t="s">
        <v>92</v>
      </c>
      <c r="P84" t="s">
        <v>1091</v>
      </c>
      <c r="Q84" t="s">
        <v>1092</v>
      </c>
      <c r="R84" t="s">
        <v>1093</v>
      </c>
      <c r="S84" t="s">
        <v>1094</v>
      </c>
      <c r="T84" t="s">
        <v>1095</v>
      </c>
      <c r="U84" t="str">
        <f t="shared" si="129"/>
        <v xml:space="preserve">  SAMEER AGARWAL</v>
      </c>
      <c r="V84" t="str">
        <f t="shared" si="130"/>
        <v>sameer_agarwal@email.in</v>
      </c>
      <c r="W84" t="str">
        <f t="shared" si="139"/>
        <v>Palanpur</v>
      </c>
      <c r="X84" t="str">
        <f t="shared" si="131"/>
        <v>SAMEER agarwal</v>
      </c>
      <c r="Y84" t="str">
        <f t="shared" si="140"/>
        <v>WHOLESALE</v>
      </c>
      <c r="Z84" t="str">
        <f t="shared" si="141"/>
        <v>recorder solutions india</v>
      </c>
      <c r="AA84" t="str">
        <f t="shared" si="142"/>
        <v>Production Manager</v>
      </c>
      <c r="AB84" t="str">
        <f t="shared" si="132"/>
        <v>159 Nagarpalika Road</v>
      </c>
      <c r="AC84" t="str">
        <f t="shared" si="143"/>
        <v>DEPT-PROD-083</v>
      </c>
      <c r="AD84" t="str">
        <f t="shared" si="144"/>
        <v>Atomos Ssd Recorder Card</v>
      </c>
      <c r="AE84" t="str">
        <f t="shared" si="145"/>
        <v>www.recorders.in</v>
      </c>
      <c r="AF84" t="str">
        <f t="shared" si="146"/>
        <v>1TB capacity minimum</v>
      </c>
      <c r="AG84" t="str">
        <f t="shared" si="133"/>
        <v>CUST083</v>
      </c>
      <c r="AH84" t="str">
        <f t="shared" si="147"/>
        <v>PRD-CARD-083</v>
      </c>
      <c r="AI84" t="str">
        <f t="shared" si="134"/>
        <v xml:space="preserve">  Sameer Agarwal</v>
      </c>
      <c r="AJ84" t="str">
        <f t="shared" si="135"/>
        <v>02742-23456</v>
      </c>
      <c r="AK84" t="str">
        <f t="shared" si="148"/>
        <v>wholesale</v>
      </c>
      <c r="AL84" t="str">
        <f t="shared" si="149"/>
        <v>Recorder Solutions India</v>
      </c>
      <c r="AM84" t="str">
        <f t="shared" si="136"/>
        <v>sameer_agarwal@email.in</v>
      </c>
      <c r="AN84" t="str">
        <f t="shared" si="150"/>
        <v>PRODUCTION MANAGER</v>
      </c>
      <c r="AO84" t="str">
        <f t="shared" si="137"/>
        <v>cust083-  SAMEER agarwal</v>
      </c>
      <c r="AP84" t="str">
        <f t="shared" si="151"/>
        <v>SAMEER agarwal</v>
      </c>
      <c r="AQ84" t="str">
        <f t="shared" si="152"/>
        <v>PALANPUR, Gujarat</v>
      </c>
      <c r="AR84" t="str">
        <f t="shared" si="153"/>
        <v>PRD-CARD-083:ATOMOS ssd RECORDER card</v>
      </c>
      <c r="AS84" t="str">
        <f t="shared" si="154"/>
        <v>sameer_agarwal@email.in|02742-23456</v>
      </c>
      <c r="AT84" t="str">
        <f t="shared" si="155"/>
        <v>RECORDER solutions INDIA-Production Manager</v>
      </c>
      <c r="AU84" t="str">
        <f t="shared" si="156"/>
        <v>WholeSale 17-Aug-2025</v>
      </c>
      <c r="AV84" t="str">
        <f t="shared" si="157"/>
        <v xml:space="preserve">  159 Nagarpalika Road  ,PALANPUR, Gujarat,385001</v>
      </c>
      <c r="AW84" t="str">
        <f t="shared" si="158"/>
        <v>DEPT-PROD-083_Production Manager</v>
      </c>
      <c r="AX84" t="str">
        <f t="shared" si="159"/>
        <v>Customer ID:cust083</v>
      </c>
      <c r="AY84" t="str">
        <f t="shared" si="160"/>
        <v>Email:sameer_agarwal@email.in</v>
      </c>
      <c r="AZ84" t="str">
        <f t="shared" si="161"/>
        <v>www.recorders.in/contact</v>
      </c>
      <c r="BA84" t="str">
        <f t="shared" si="162"/>
        <v>Order Placed On 17-Aug-2025</v>
      </c>
      <c r="BB84" t="str">
        <f t="shared" si="163"/>
        <v xml:space="preserve">  SAMEER agarwal(WholeSale)</v>
      </c>
      <c r="BC84" t="str">
        <f t="shared" si="164"/>
        <v>PRD-CARD-083/ATOMOS ssd RECORDER card</v>
      </c>
      <c r="BD84" t="str">
        <f t="shared" si="165"/>
        <v>call 02742-23456</v>
      </c>
      <c r="BE84" t="str">
        <f t="shared" si="166"/>
        <v>RECORDER solutions INDIA-DEPT-PROD-083</v>
      </c>
      <c r="BF84" t="str">
        <f t="shared" si="167"/>
        <v>cust083-83</v>
      </c>
      <c r="BG84" t="str">
        <f t="shared" si="168"/>
        <v>Customer:   SAMEER agarwal,Type: WholeSale</v>
      </c>
      <c r="BH84" t="str">
        <f t="shared" si="169"/>
        <v>PALANPUR,india</v>
      </c>
      <c r="BI84" t="str">
        <f t="shared" si="170"/>
        <v>cust</v>
      </c>
      <c r="BJ84" t="str">
        <f t="shared" si="171"/>
        <v>sameer_aga</v>
      </c>
      <c r="BK84" t="str">
        <f t="shared" si="172"/>
        <v xml:space="preserve">SAMEER </v>
      </c>
      <c r="BL84" t="str">
        <f t="shared" si="173"/>
        <v>PRD-C</v>
      </c>
      <c r="BM84" t="str">
        <f t="shared" si="174"/>
        <v>Who</v>
      </c>
      <c r="BN84" t="str">
        <f t="shared" si="175"/>
        <v>02742-23</v>
      </c>
      <c r="BO84" t="str">
        <f t="shared" si="176"/>
        <v>email.in</v>
      </c>
      <c r="BP84" t="str">
        <f t="shared" si="177"/>
        <v>PALANPUR</v>
      </c>
      <c r="BQ84" t="str">
        <f t="shared" si="178"/>
        <v>t083</v>
      </c>
      <c r="BR84" t="str">
        <f t="shared" si="179"/>
        <v>garwal</v>
      </c>
      <c r="BS84" t="str">
        <f t="shared" si="180"/>
        <v>RD-083</v>
      </c>
      <c r="BU84" t="str">
        <f t="shared" si="181"/>
        <v>23456</v>
      </c>
      <c r="BV84" t="str">
        <f t="shared" si="182"/>
        <v>385001</v>
      </c>
      <c r="BW84" t="str">
        <f t="shared" si="183"/>
        <v xml:space="preserve"> Gujarat</v>
      </c>
      <c r="BX84" t="str">
        <f t="shared" si="184"/>
        <v>083</v>
      </c>
      <c r="BY84" t="str">
        <f t="shared" si="185"/>
        <v>PROD</v>
      </c>
      <c r="BZ84" t="str">
        <f t="shared" si="186"/>
        <v>CARD</v>
      </c>
      <c r="CA84" t="str">
        <f t="shared" si="187"/>
        <v>Aug</v>
      </c>
      <c r="CB84" t="str">
        <f t="shared" si="188"/>
        <v>CORDE</v>
      </c>
      <c r="CC84">
        <f t="shared" si="189"/>
        <v>15</v>
      </c>
      <c r="CD84">
        <f t="shared" si="190"/>
        <v>16</v>
      </c>
      <c r="CE84">
        <f t="shared" si="191"/>
        <v>23</v>
      </c>
      <c r="CF84">
        <f t="shared" si="192"/>
        <v>1</v>
      </c>
      <c r="CG84">
        <f t="shared" si="193"/>
        <v>24</v>
      </c>
      <c r="CH84">
        <f t="shared" si="194"/>
        <v>9</v>
      </c>
      <c r="CI84">
        <f t="shared" si="195"/>
        <v>7</v>
      </c>
      <c r="CJ84">
        <f t="shared" si="196"/>
        <v>1</v>
      </c>
      <c r="CK84">
        <f t="shared" si="197"/>
        <v>11</v>
      </c>
      <c r="CL84">
        <f t="shared" si="198"/>
        <v>4</v>
      </c>
      <c r="CM84">
        <f t="shared" si="199"/>
        <v>24</v>
      </c>
      <c r="CN84">
        <f t="shared" si="200"/>
        <v>21</v>
      </c>
      <c r="CO84">
        <f t="shared" si="201"/>
        <v>24</v>
      </c>
      <c r="CP84">
        <f t="shared" si="202"/>
        <v>9</v>
      </c>
      <c r="CQ84">
        <f t="shared" si="203"/>
        <v>13</v>
      </c>
      <c r="CR84" t="str">
        <f t="shared" si="204"/>
        <v>not found</v>
      </c>
      <c r="CS84">
        <f t="shared" si="205"/>
        <v>9</v>
      </c>
      <c r="CT84">
        <f t="shared" si="206"/>
        <v>9</v>
      </c>
      <c r="CU84">
        <f t="shared" si="207"/>
        <v>20</v>
      </c>
      <c r="CV84">
        <f t="shared" si="208"/>
        <v>3</v>
      </c>
      <c r="CW84" t="str">
        <f t="shared" si="209"/>
        <v>Customer ID083</v>
      </c>
      <c r="CX84" t="str">
        <f t="shared" si="210"/>
        <v>sameer_agarwal[AT]email.in</v>
      </c>
      <c r="CY84" t="str">
        <f t="shared" si="211"/>
        <v>Product-CARD-083</v>
      </c>
      <c r="CZ84" t="str">
        <f t="shared" si="212"/>
        <v>PRD_CARD_083</v>
      </c>
      <c r="DA84" t="str">
        <f t="shared" si="213"/>
        <v>DEPARTMENT-PROD-083</v>
      </c>
      <c r="DB84" t="str">
        <f t="shared" si="214"/>
        <v>SAMEER_AGARWAL@EMAIL.IN</v>
      </c>
      <c r="DC84" t="str">
        <f t="shared" si="215"/>
        <v>https://www..RECORDERS.IN</v>
      </c>
      <c r="DD84" t="str">
        <f t="shared" si="216"/>
        <v>//SAMEER/agarwal</v>
      </c>
      <c r="DE84" t="str">
        <f t="shared" si="217"/>
        <v>WholeSale</v>
      </c>
      <c r="DF84" t="str">
        <f t="shared" si="218"/>
        <v>PALANPUR; Gujarat;385001</v>
      </c>
      <c r="DG84" t="str">
        <f t="shared" si="219"/>
        <v>Production Manager</v>
      </c>
      <c r="DH84" t="str">
        <f t="shared" si="220"/>
        <v>02742-23456</v>
      </c>
      <c r="DI84" t="str">
        <f t="shared" si="221"/>
        <v>RECORDER solutions INDIA</v>
      </c>
      <c r="DJ84" t="str">
        <f t="shared" si="222"/>
        <v>www.recorders.in</v>
      </c>
      <c r="DK84" t="str">
        <f t="shared" si="223"/>
        <v xml:space="preserve">    159  Nagarpalika  Road    </v>
      </c>
      <c r="DL84" t="str">
        <f t="shared" si="224"/>
        <v>sameer_agarwal</v>
      </c>
      <c r="DM84" t="str">
        <f t="shared" si="225"/>
        <v>SAMEER.agarwal@RECORDER solutions INDIA.com</v>
      </c>
      <c r="DN84" t="str">
        <f t="shared" si="226"/>
        <v>SAMEER</v>
      </c>
      <c r="DO84" t="str">
        <f t="shared" si="227"/>
        <v>agarwal</v>
      </c>
      <c r="DP84" t="str">
        <f t="shared" si="228"/>
        <v>agarwal,SAMEER</v>
      </c>
      <c r="DQ84" t="str">
        <f t="shared" si="229"/>
        <v>Name has14characters</v>
      </c>
      <c r="DR84" t="str">
        <f t="shared" si="230"/>
        <v>Check Domain</v>
      </c>
      <c r="DS84" t="str">
        <f t="shared" si="231"/>
        <v>0274</v>
      </c>
      <c r="DT84" t="str">
        <f t="shared" si="232"/>
        <v>cus083</v>
      </c>
      <c r="DU84" t="str">
        <f t="shared" si="233"/>
        <v>Sagarwal</v>
      </c>
      <c r="DV84" t="str">
        <f t="shared" si="234"/>
        <v>PRD083</v>
      </c>
      <c r="DW84" t="str">
        <f t="shared" si="235"/>
        <v>02742-23456</v>
      </c>
      <c r="DX84" t="str">
        <f t="shared" si="236"/>
        <v>2025</v>
      </c>
      <c r="DY84" t="str">
        <f t="shared" si="237"/>
        <v>S</v>
      </c>
      <c r="DZ84" t="str">
        <f t="shared" si="238"/>
        <v>SAMEERagarwal@RECORDER solutions INDIA.com</v>
      </c>
      <c r="EA84" t="str">
        <f t="shared" si="239"/>
        <v>Wholesale</v>
      </c>
      <c r="EB84" t="str">
        <f t="shared" si="240"/>
        <v>email.in</v>
      </c>
      <c r="EC84">
        <f t="shared" si="241"/>
        <v>24</v>
      </c>
      <c r="ED84" t="str">
        <f t="shared" si="242"/>
        <v>PA83</v>
      </c>
      <c r="EE84" t="str">
        <f t="shared" si="243"/>
        <v>PALANPUR- Gujarat(385001)</v>
      </c>
      <c r="EF84" t="str">
        <f t="shared" si="244"/>
        <v>0274223456</v>
      </c>
      <c r="EG84" t="str">
        <f t="shared" si="245"/>
        <v>CUST-083</v>
      </c>
      <c r="EH84" t="str">
        <f t="shared" si="246"/>
        <v>public</v>
      </c>
      <c r="EI84" t="str">
        <f t="shared" si="247"/>
        <v>PRD-083-17Aug25</v>
      </c>
      <c r="EJ84" t="str">
        <f t="shared" si="248"/>
        <v>Wholesale</v>
      </c>
    </row>
    <row r="85" spans="1:140" x14ac:dyDescent="0.3">
      <c r="A85" t="s">
        <v>1096</v>
      </c>
      <c r="B85" t="s">
        <v>1554</v>
      </c>
      <c r="C85" t="s">
        <v>1555</v>
      </c>
      <c r="D85" t="s">
        <v>1097</v>
      </c>
      <c r="E85" t="s">
        <v>1098</v>
      </c>
      <c r="F85" t="s">
        <v>1099</v>
      </c>
      <c r="G85" t="s">
        <v>1100</v>
      </c>
      <c r="H85" t="s">
        <v>1692</v>
      </c>
      <c r="I85" t="s">
        <v>1629</v>
      </c>
      <c r="J85">
        <v>362265</v>
      </c>
      <c r="K85" t="str">
        <f t="shared" si="138"/>
        <v>Veraval, GUJARAT,362265</v>
      </c>
      <c r="L85" t="s">
        <v>1101</v>
      </c>
      <c r="M85" t="s">
        <v>1102</v>
      </c>
      <c r="N85" t="s">
        <v>1103</v>
      </c>
      <c r="O85" t="s">
        <v>132</v>
      </c>
      <c r="P85" t="s">
        <v>1104</v>
      </c>
      <c r="Q85" t="s">
        <v>1105</v>
      </c>
      <c r="R85" t="s">
        <v>1106</v>
      </c>
      <c r="S85" t="s">
        <v>1107</v>
      </c>
      <c r="T85" t="s">
        <v>1108</v>
      </c>
      <c r="U85" t="str">
        <f t="shared" si="129"/>
        <v xml:space="preserve">PREETI MALHOTRA  </v>
      </c>
      <c r="V85" t="str">
        <f t="shared" si="130"/>
        <v>preeti.malhotra@corporate.in</v>
      </c>
      <c r="W85" t="str">
        <f t="shared" si="139"/>
        <v>Veraval</v>
      </c>
      <c r="X85" t="str">
        <f t="shared" si="131"/>
        <v>preeti MALHOTRA</v>
      </c>
      <c r="Y85" t="str">
        <f t="shared" si="140"/>
        <v>CORPORATE</v>
      </c>
      <c r="Z85" t="str">
        <f t="shared" si="141"/>
        <v xml:space="preserve">  rig accessories pro  </v>
      </c>
      <c r="AA85" t="str">
        <f t="shared" si="142"/>
        <v>Cinematographer</v>
      </c>
      <c r="AB85" t="str">
        <f t="shared" si="132"/>
        <v>357 College Road</v>
      </c>
      <c r="AC85" t="str">
        <f t="shared" si="143"/>
        <v>DEPT-CINEMA-084</v>
      </c>
      <c r="AD85" t="str">
        <f t="shared" si="144"/>
        <v>Smallrig Camera Cage</v>
      </c>
      <c r="AE85" t="str">
        <f t="shared" si="145"/>
        <v>https://rigs.in</v>
      </c>
      <c r="AF85" t="str">
        <f t="shared" si="146"/>
        <v>Cold shoe mounts needed</v>
      </c>
      <c r="AG85" t="str">
        <f t="shared" si="133"/>
        <v>CUST084</v>
      </c>
      <c r="AH85" t="str">
        <f t="shared" si="147"/>
        <v>PRD-CAGE-084</v>
      </c>
      <c r="AI85" t="str">
        <f t="shared" si="134"/>
        <v xml:space="preserve">Preeti Malhotra  </v>
      </c>
      <c r="AJ85" t="str">
        <f t="shared" si="135"/>
        <v>+91-9876678901</v>
      </c>
      <c r="AK85" t="str">
        <f t="shared" si="148"/>
        <v>corporate</v>
      </c>
      <c r="AL85" t="str">
        <f t="shared" si="149"/>
        <v>Rig Accessories Pro</v>
      </c>
      <c r="AM85" t="str">
        <f t="shared" si="136"/>
        <v>preeti.malhotra@corporate.in</v>
      </c>
      <c r="AN85" t="str">
        <f t="shared" si="150"/>
        <v>CINEMATOGRAPHER</v>
      </c>
      <c r="AO85" t="str">
        <f t="shared" si="137"/>
        <v xml:space="preserve">Cust084-preeti MALHOTRA  </v>
      </c>
      <c r="AP85" t="str">
        <f t="shared" si="151"/>
        <v>preeti MALHOTRA</v>
      </c>
      <c r="AQ85" t="str">
        <f t="shared" si="152"/>
        <v>Veraval, GUJARAT</v>
      </c>
      <c r="AR85" t="str">
        <f t="shared" si="153"/>
        <v>prd-cage-084:SMALLRIG camera CAGE</v>
      </c>
      <c r="AS85" t="str">
        <f t="shared" si="154"/>
        <v>PREETI.MALHOTRA@CORPORATE.IN|+91-9876678901</v>
      </c>
      <c r="AT85" t="str">
        <f t="shared" si="155"/>
        <v xml:space="preserve">  RIG accessories PRO  -CINEMATOGRAPHER</v>
      </c>
      <c r="AU85" t="str">
        <f t="shared" si="156"/>
        <v>Corporate 24-Aug-2025</v>
      </c>
      <c r="AV85" t="str">
        <f t="shared" si="157"/>
        <v>357 College Road,Veraval, GUJARAT,362265</v>
      </c>
      <c r="AW85" t="str">
        <f t="shared" si="158"/>
        <v>dept-cinema-084_CINEMATOGRAPHER</v>
      </c>
      <c r="AX85" t="str">
        <f t="shared" si="159"/>
        <v>Customer ID:Cust084</v>
      </c>
      <c r="AY85" t="str">
        <f t="shared" si="160"/>
        <v>Email:PREETI.MALHOTRA@CORPORATE.IN</v>
      </c>
      <c r="AZ85" t="str">
        <f t="shared" si="161"/>
        <v>https://rigs.in/contact</v>
      </c>
      <c r="BA85" t="str">
        <f t="shared" si="162"/>
        <v>Order Placed On 24-Aug-2025</v>
      </c>
      <c r="BB85" t="str">
        <f t="shared" si="163"/>
        <v>preeti MALHOTRA  (Corporate)</v>
      </c>
      <c r="BC85" t="str">
        <f t="shared" si="164"/>
        <v>prd-cage-084/SMALLRIG camera CAGE</v>
      </c>
      <c r="BD85" t="str">
        <f t="shared" si="165"/>
        <v>call +91-9876678901</v>
      </c>
      <c r="BE85" t="str">
        <f t="shared" si="166"/>
        <v xml:space="preserve">  RIG accessories PRO  -dept-cinema-084</v>
      </c>
      <c r="BF85" t="str">
        <f t="shared" si="167"/>
        <v>Cust084-84</v>
      </c>
      <c r="BG85" t="str">
        <f t="shared" si="168"/>
        <v>Customer: preeti MALHOTRA  ,Type: Corporate</v>
      </c>
      <c r="BH85" t="str">
        <f t="shared" si="169"/>
        <v>Veraval,india</v>
      </c>
      <c r="BI85" t="str">
        <f t="shared" si="170"/>
        <v>Cust</v>
      </c>
      <c r="BJ85" t="str">
        <f t="shared" si="171"/>
        <v>PREETI.MAL</v>
      </c>
      <c r="BK85" t="str">
        <f t="shared" si="172"/>
        <v xml:space="preserve">preeti </v>
      </c>
      <c r="BL85" t="str">
        <f t="shared" si="173"/>
        <v>prd-c</v>
      </c>
      <c r="BM85" t="str">
        <f t="shared" si="174"/>
        <v>Cor</v>
      </c>
      <c r="BN85" t="str">
        <f t="shared" si="175"/>
        <v>+91-9876</v>
      </c>
      <c r="BO85" t="str">
        <f t="shared" si="176"/>
        <v>CORPORATE.IN</v>
      </c>
      <c r="BP85" t="str">
        <f t="shared" si="177"/>
        <v>Veraval</v>
      </c>
      <c r="BQ85" t="str">
        <f t="shared" si="178"/>
        <v>t084</v>
      </c>
      <c r="BR85" t="str">
        <f t="shared" si="179"/>
        <v>LHOTRA</v>
      </c>
      <c r="BS85" t="str">
        <f t="shared" si="180"/>
        <v>ge-084</v>
      </c>
      <c r="BU85" t="str">
        <f t="shared" si="181"/>
        <v>78901</v>
      </c>
      <c r="BV85" t="str">
        <f t="shared" si="182"/>
        <v>362265</v>
      </c>
      <c r="BW85" t="str">
        <f t="shared" si="183"/>
        <v xml:space="preserve"> GUJARAT</v>
      </c>
      <c r="BX85" t="str">
        <f t="shared" si="184"/>
        <v>084</v>
      </c>
      <c r="BY85" t="str">
        <f t="shared" si="185"/>
        <v>cinema</v>
      </c>
      <c r="BZ85" t="str">
        <f t="shared" si="186"/>
        <v>cage</v>
      </c>
      <c r="CA85" t="str">
        <f t="shared" si="187"/>
        <v>Aug</v>
      </c>
      <c r="CB85" t="str">
        <f t="shared" si="188"/>
        <v>RIG a</v>
      </c>
      <c r="CC85">
        <f t="shared" si="189"/>
        <v>16</v>
      </c>
      <c r="CD85">
        <f t="shared" si="190"/>
        <v>17</v>
      </c>
      <c r="CE85">
        <f t="shared" si="191"/>
        <v>28</v>
      </c>
      <c r="CF85">
        <f t="shared" si="192"/>
        <v>7</v>
      </c>
      <c r="CG85">
        <f t="shared" si="193"/>
        <v>20</v>
      </c>
      <c r="CH85">
        <f t="shared" si="194"/>
        <v>8</v>
      </c>
      <c r="CI85">
        <f t="shared" si="195"/>
        <v>7</v>
      </c>
      <c r="CJ85" t="str">
        <f t="shared" si="196"/>
        <v>Not found</v>
      </c>
      <c r="CK85">
        <f t="shared" si="197"/>
        <v>14</v>
      </c>
      <c r="CL85">
        <f t="shared" si="198"/>
        <v>4</v>
      </c>
      <c r="CM85">
        <f t="shared" si="199"/>
        <v>16</v>
      </c>
      <c r="CN85">
        <f t="shared" si="200"/>
        <v>7</v>
      </c>
      <c r="CO85">
        <f t="shared" si="201"/>
        <v>19</v>
      </c>
      <c r="CP85">
        <f t="shared" si="202"/>
        <v>9</v>
      </c>
      <c r="CQ85">
        <f t="shared" si="203"/>
        <v>15</v>
      </c>
      <c r="CR85">
        <f t="shared" si="204"/>
        <v>7</v>
      </c>
      <c r="CS85">
        <f t="shared" si="205"/>
        <v>9</v>
      </c>
      <c r="CT85">
        <f t="shared" si="206"/>
        <v>9</v>
      </c>
      <c r="CU85">
        <f t="shared" si="207"/>
        <v>23</v>
      </c>
      <c r="CV85">
        <f t="shared" si="208"/>
        <v>3</v>
      </c>
      <c r="CW85" t="str">
        <f t="shared" si="209"/>
        <v>Customer ID084</v>
      </c>
      <c r="CX85" t="str">
        <f t="shared" si="210"/>
        <v>PREETI.MALHOTRA[AT]CORPORATE.IN</v>
      </c>
      <c r="CY85" t="str">
        <f t="shared" si="211"/>
        <v>Product-CAGE-084</v>
      </c>
      <c r="CZ85" t="str">
        <f t="shared" si="212"/>
        <v>prd_cage_084</v>
      </c>
      <c r="DA85" t="str">
        <f t="shared" si="213"/>
        <v>DEPARTMENT-CINEMA-084</v>
      </c>
      <c r="DB85" t="str">
        <f t="shared" si="214"/>
        <v>PREETI.MALHOTRA@CORPORATE.IN</v>
      </c>
      <c r="DC85" t="str">
        <f t="shared" si="215"/>
        <v>HTTPS://RIGS.IN</v>
      </c>
      <c r="DD85" t="str">
        <f t="shared" si="216"/>
        <v>preeti/MALHOTRA//</v>
      </c>
      <c r="DE85" t="str">
        <f t="shared" si="217"/>
        <v>Corporate</v>
      </c>
      <c r="DF85" t="str">
        <f t="shared" si="218"/>
        <v>Veraval; GUJARAT;362265</v>
      </c>
      <c r="DG85" t="str">
        <f t="shared" si="219"/>
        <v>CINEMATOGRAPHER</v>
      </c>
      <c r="DH85" t="str">
        <f t="shared" si="220"/>
        <v>+91-9876678901</v>
      </c>
      <c r="DI85" t="str">
        <f t="shared" si="221"/>
        <v xml:space="preserve">  RIG accessories PRO  </v>
      </c>
      <c r="DJ85" t="str">
        <f t="shared" si="222"/>
        <v>https:://rigs.in</v>
      </c>
      <c r="DK85" t="str">
        <f t="shared" si="223"/>
        <v>357  College  Road</v>
      </c>
      <c r="DL85" t="str">
        <f t="shared" si="224"/>
        <v>PREETI.MALHOTRA</v>
      </c>
      <c r="DM85" t="str">
        <f t="shared" si="225"/>
        <v>preeti.MALHOTRA@  RIG accessories PRO  .com</v>
      </c>
      <c r="DN85" t="str">
        <f t="shared" si="226"/>
        <v>preeti</v>
      </c>
      <c r="DO85" t="str">
        <f t="shared" si="227"/>
        <v>MALHOTRA</v>
      </c>
      <c r="DP85" t="str">
        <f t="shared" si="228"/>
        <v>MALHOTRA,preeti</v>
      </c>
      <c r="DQ85" t="str">
        <f t="shared" si="229"/>
        <v>Name has15characters</v>
      </c>
      <c r="DR85" t="str">
        <f t="shared" si="230"/>
        <v>Check Domain</v>
      </c>
      <c r="DS85" t="str">
        <f t="shared" si="231"/>
        <v>+91-</v>
      </c>
      <c r="DT85" t="str">
        <f t="shared" si="232"/>
        <v>Cus084</v>
      </c>
      <c r="DU85" t="str">
        <f t="shared" si="233"/>
        <v>pmalhotra</v>
      </c>
      <c r="DV85" t="str">
        <f t="shared" si="234"/>
        <v>prd084</v>
      </c>
      <c r="DW85" t="str">
        <f t="shared" si="235"/>
        <v>+91-9876678901</v>
      </c>
      <c r="DX85" t="str">
        <f t="shared" si="236"/>
        <v>2025</v>
      </c>
      <c r="DY85" t="str">
        <f t="shared" si="237"/>
        <v>p</v>
      </c>
      <c r="DZ85" t="str">
        <f t="shared" si="238"/>
        <v>preetiMALHOTRA@  RIG accessories PRO  .com</v>
      </c>
      <c r="EA85" t="str">
        <f t="shared" si="239"/>
        <v/>
      </c>
      <c r="EB85" t="str">
        <f t="shared" si="240"/>
        <v>CORPORATE.IN</v>
      </c>
      <c r="EC85">
        <f t="shared" si="241"/>
        <v>20</v>
      </c>
      <c r="ED85" t="str">
        <f t="shared" si="242"/>
        <v>Ve84</v>
      </c>
      <c r="EE85" t="str">
        <f t="shared" si="243"/>
        <v>Veraval- GUJARAT(362265)</v>
      </c>
      <c r="EF85" t="str">
        <f t="shared" si="244"/>
        <v>919876678901</v>
      </c>
      <c r="EG85" t="str">
        <f t="shared" si="245"/>
        <v>CUST-084</v>
      </c>
      <c r="EH85" t="str">
        <f t="shared" si="246"/>
        <v>public</v>
      </c>
      <c r="EI85" t="str">
        <f t="shared" si="247"/>
        <v>PRD-084-24Aug25</v>
      </c>
      <c r="EJ85" t="str">
        <f t="shared" si="248"/>
        <v>Corporate</v>
      </c>
    </row>
    <row r="86" spans="1:140" x14ac:dyDescent="0.3">
      <c r="A86" t="s">
        <v>1109</v>
      </c>
      <c r="B86" t="s">
        <v>1556</v>
      </c>
      <c r="C86" t="s">
        <v>1504</v>
      </c>
      <c r="D86" t="s">
        <v>1110</v>
      </c>
      <c r="E86" t="s">
        <v>1111</v>
      </c>
      <c r="F86" t="s">
        <v>1112</v>
      </c>
      <c r="G86" t="s">
        <v>1113</v>
      </c>
      <c r="H86" t="s">
        <v>1693</v>
      </c>
      <c r="I86" t="s">
        <v>1629</v>
      </c>
      <c r="J86">
        <v>389151</v>
      </c>
      <c r="K86" t="str">
        <f t="shared" si="138"/>
        <v>dahod, GUJARAT,389151</v>
      </c>
      <c r="L86" t="s">
        <v>1114</v>
      </c>
      <c r="M86" t="s">
        <v>1115</v>
      </c>
      <c r="N86" t="s">
        <v>1116</v>
      </c>
      <c r="O86" t="s">
        <v>78</v>
      </c>
      <c r="P86" t="s">
        <v>1117</v>
      </c>
      <c r="Q86" t="s">
        <v>1118</v>
      </c>
      <c r="R86" t="s">
        <v>1119</v>
      </c>
      <c r="S86" t="s">
        <v>1120</v>
      </c>
      <c r="T86" t="s">
        <v>1121</v>
      </c>
      <c r="U86" t="str">
        <f t="shared" si="129"/>
        <v>RAJIV RAO</v>
      </c>
      <c r="V86" t="str">
        <f t="shared" si="130"/>
        <v>rajiv.rao@mail.in</v>
      </c>
      <c r="W86" t="str">
        <f t="shared" si="139"/>
        <v>Dahod</v>
      </c>
      <c r="X86" t="str">
        <f t="shared" si="131"/>
        <v>rajiv rao</v>
      </c>
      <c r="Y86" t="str">
        <f t="shared" si="140"/>
        <v>RETAIL</v>
      </c>
      <c r="Z86" t="str">
        <f t="shared" si="141"/>
        <v>handle solutions cinema</v>
      </c>
      <c r="AA86" t="str">
        <f t="shared" si="142"/>
        <v>Grip Operator</v>
      </c>
      <c r="AB86" t="str">
        <f t="shared" si="132"/>
        <v>753 ST Bus Stand</v>
      </c>
      <c r="AC86" t="str">
        <f t="shared" si="143"/>
        <v>DEPT-GRIP-085</v>
      </c>
      <c r="AD86" t="str">
        <f t="shared" si="144"/>
        <v>Smallrig Top Handle Nato</v>
      </c>
      <c r="AE86" t="str">
        <f t="shared" si="145"/>
        <v>www.handles.com</v>
      </c>
      <c r="AF86" t="str">
        <f t="shared" si="146"/>
        <v>NATO rail compatible</v>
      </c>
      <c r="AG86" t="str">
        <f t="shared" si="133"/>
        <v>CUST085</v>
      </c>
      <c r="AH86" t="str">
        <f t="shared" si="147"/>
        <v>PRD-HANDLE-085</v>
      </c>
      <c r="AI86" t="str">
        <f t="shared" si="134"/>
        <v>Rajiv Rao</v>
      </c>
      <c r="AJ86" t="str">
        <f t="shared" si="135"/>
        <v>(02678) 2468-135</v>
      </c>
      <c r="AK86" t="str">
        <f t="shared" si="148"/>
        <v>retail</v>
      </c>
      <c r="AL86" t="str">
        <f t="shared" si="149"/>
        <v>Handle Solutions Cinema</v>
      </c>
      <c r="AM86" t="str">
        <f t="shared" si="136"/>
        <v>rajiv.rao@mail.in</v>
      </c>
      <c r="AN86" t="str">
        <f t="shared" si="150"/>
        <v>GRIP OPERATOR</v>
      </c>
      <c r="AO86" t="str">
        <f t="shared" si="137"/>
        <v>CUST085-rajiv rao</v>
      </c>
      <c r="AP86" t="str">
        <f t="shared" si="151"/>
        <v>rajiv rao</v>
      </c>
      <c r="AQ86" t="str">
        <f t="shared" si="152"/>
        <v>dahod, GUJARAT</v>
      </c>
      <c r="AR86" t="str">
        <f t="shared" si="153"/>
        <v>prd-handle-085:SMALLRIG top HANDLE nato</v>
      </c>
      <c r="AS86" t="str">
        <f t="shared" si="154"/>
        <v>rajiv.rao@mail.in|(02678) 2468-135</v>
      </c>
      <c r="AT86" t="str">
        <f t="shared" si="155"/>
        <v>handle SOLUTIONS cinema-Grip Operator</v>
      </c>
      <c r="AU86" t="str">
        <f t="shared" si="156"/>
        <v>retail 31-Aug-2025</v>
      </c>
      <c r="AV86" t="str">
        <f t="shared" si="157"/>
        <v>753 ST Bus Stand,dahod, GUJARAT,389151</v>
      </c>
      <c r="AW86" t="str">
        <f t="shared" si="158"/>
        <v>dept-grip-085_Grip Operator</v>
      </c>
      <c r="AX86" t="str">
        <f t="shared" si="159"/>
        <v>Customer ID:CUST085</v>
      </c>
      <c r="AY86" t="str">
        <f t="shared" si="160"/>
        <v>Email:rajiv.rao@mail.in</v>
      </c>
      <c r="AZ86" t="str">
        <f t="shared" si="161"/>
        <v>WWW.HANDLES.COM/contact</v>
      </c>
      <c r="BA86" t="str">
        <f t="shared" si="162"/>
        <v>Order Placed On 31-Aug-2025</v>
      </c>
      <c r="BB86" t="str">
        <f t="shared" si="163"/>
        <v>rajiv rao(retail)</v>
      </c>
      <c r="BC86" t="str">
        <f t="shared" si="164"/>
        <v>prd-handle-085/SMALLRIG top HANDLE nato</v>
      </c>
      <c r="BD86" t="str">
        <f t="shared" si="165"/>
        <v>call (02678) 2468-135</v>
      </c>
      <c r="BE86" t="str">
        <f t="shared" si="166"/>
        <v>handle SOLUTIONS cinema-dept-grip-085</v>
      </c>
      <c r="BF86" t="str">
        <f t="shared" si="167"/>
        <v>CUST085-85</v>
      </c>
      <c r="BG86" t="str">
        <f t="shared" si="168"/>
        <v>Customer: rajiv rao,Type: retail</v>
      </c>
      <c r="BH86" t="str">
        <f t="shared" si="169"/>
        <v>dahod,india</v>
      </c>
      <c r="BI86" t="str">
        <f t="shared" si="170"/>
        <v>CUST</v>
      </c>
      <c r="BJ86" t="str">
        <f t="shared" si="171"/>
        <v>rajiv.rao@</v>
      </c>
      <c r="BK86" t="str">
        <f t="shared" si="172"/>
        <v xml:space="preserve">rajiv </v>
      </c>
      <c r="BL86" t="str">
        <f t="shared" si="173"/>
        <v>prd-h</v>
      </c>
      <c r="BM86" t="str">
        <f t="shared" si="174"/>
        <v>ret</v>
      </c>
      <c r="BN86" t="str">
        <f t="shared" si="175"/>
        <v xml:space="preserve">(02678) </v>
      </c>
      <c r="BO86" t="str">
        <f t="shared" si="176"/>
        <v>mail.in</v>
      </c>
      <c r="BP86" t="str">
        <f t="shared" si="177"/>
        <v>dahod</v>
      </c>
      <c r="BQ86" t="str">
        <f t="shared" si="178"/>
        <v>T085</v>
      </c>
      <c r="BR86" t="str">
        <f t="shared" si="179"/>
        <v>v rao</v>
      </c>
      <c r="BS86" t="str">
        <f t="shared" si="180"/>
        <v>le-085</v>
      </c>
      <c r="BU86" t="str">
        <f t="shared" si="181"/>
        <v>8-135</v>
      </c>
      <c r="BV86" t="str">
        <f t="shared" si="182"/>
        <v>389151</v>
      </c>
      <c r="BW86" t="str">
        <f t="shared" si="183"/>
        <v xml:space="preserve"> GUJARAT</v>
      </c>
      <c r="BX86" t="str">
        <f t="shared" si="184"/>
        <v>085</v>
      </c>
      <c r="BY86" t="str">
        <f t="shared" si="185"/>
        <v>grip</v>
      </c>
      <c r="BZ86" t="str">
        <f t="shared" si="186"/>
        <v>handle</v>
      </c>
      <c r="CA86" t="str">
        <f t="shared" si="187"/>
        <v>Aug</v>
      </c>
      <c r="CB86" t="str">
        <f t="shared" si="188"/>
        <v xml:space="preserve">ndle </v>
      </c>
      <c r="CC86">
        <f t="shared" si="189"/>
        <v>10</v>
      </c>
      <c r="CD86">
        <f t="shared" si="190"/>
        <v>9</v>
      </c>
      <c r="CE86">
        <f t="shared" si="191"/>
        <v>17</v>
      </c>
      <c r="CF86">
        <f t="shared" si="192"/>
        <v>6</v>
      </c>
      <c r="CG86">
        <f t="shared" si="193"/>
        <v>24</v>
      </c>
      <c r="CH86">
        <f t="shared" si="194"/>
        <v>6</v>
      </c>
      <c r="CI86">
        <f t="shared" si="195"/>
        <v>7</v>
      </c>
      <c r="CJ86" t="str">
        <f t="shared" si="196"/>
        <v>Not found</v>
      </c>
      <c r="CK86">
        <f t="shared" si="197"/>
        <v>16</v>
      </c>
      <c r="CL86">
        <f t="shared" si="198"/>
        <v>4</v>
      </c>
      <c r="CM86">
        <f t="shared" si="199"/>
        <v>16</v>
      </c>
      <c r="CN86">
        <f t="shared" si="200"/>
        <v>6</v>
      </c>
      <c r="CO86">
        <f t="shared" si="201"/>
        <v>23</v>
      </c>
      <c r="CP86">
        <f t="shared" si="202"/>
        <v>11</v>
      </c>
      <c r="CQ86">
        <f t="shared" si="203"/>
        <v>13</v>
      </c>
      <c r="CR86" t="str">
        <f t="shared" si="204"/>
        <v>not found</v>
      </c>
      <c r="CS86">
        <f t="shared" si="205"/>
        <v>6</v>
      </c>
      <c r="CT86">
        <f t="shared" si="206"/>
        <v>11</v>
      </c>
      <c r="CU86">
        <f t="shared" si="207"/>
        <v>24</v>
      </c>
      <c r="CV86">
        <f t="shared" si="208"/>
        <v>3</v>
      </c>
      <c r="CW86" t="str">
        <f t="shared" si="209"/>
        <v>Customer ID085</v>
      </c>
      <c r="CX86" t="str">
        <f t="shared" si="210"/>
        <v>rajiv.rao[AT]mail.in</v>
      </c>
      <c r="CY86" t="str">
        <f t="shared" si="211"/>
        <v>Product-HANDLE-085</v>
      </c>
      <c r="CZ86" t="str">
        <f t="shared" si="212"/>
        <v>prd_handle_085</v>
      </c>
      <c r="DA86" t="str">
        <f t="shared" si="213"/>
        <v>DEPARTMENT-GRIP-085</v>
      </c>
      <c r="DB86" t="str">
        <f t="shared" si="214"/>
        <v>RAJIV.RAO@MAIL.IN</v>
      </c>
      <c r="DC86" t="str">
        <f t="shared" si="215"/>
        <v>https://www..HANDLES.COM</v>
      </c>
      <c r="DD86" t="str">
        <f t="shared" si="216"/>
        <v>rajiv/rao</v>
      </c>
      <c r="DE86" t="str">
        <f t="shared" si="217"/>
        <v>RETAIL CUSTOMER</v>
      </c>
      <c r="DF86" t="str">
        <f t="shared" si="218"/>
        <v>dahod; GUJARAT;389151</v>
      </c>
      <c r="DG86" t="str">
        <f t="shared" si="219"/>
        <v>Grip Operator</v>
      </c>
      <c r="DH86" t="str">
        <f t="shared" si="220"/>
        <v xml:space="preserve"> 02678  2468-135</v>
      </c>
      <c r="DI86" t="str">
        <f t="shared" si="221"/>
        <v>handle SOLUTIONS cinema</v>
      </c>
      <c r="DJ86" t="str">
        <f t="shared" si="222"/>
        <v>WWW.HANDLES.COM</v>
      </c>
      <c r="DK86" t="str">
        <f t="shared" si="223"/>
        <v>753  ST  Bus  Stand</v>
      </c>
      <c r="DL86" t="str">
        <f t="shared" si="224"/>
        <v>rajiv.rao</v>
      </c>
      <c r="DM86" t="str">
        <f t="shared" si="225"/>
        <v>rajiv.rao@handle SOLUTIONS cinema.com</v>
      </c>
      <c r="DN86" t="str">
        <f t="shared" si="226"/>
        <v>rajiv</v>
      </c>
      <c r="DO86" t="str">
        <f t="shared" si="227"/>
        <v>rao</v>
      </c>
      <c r="DP86" t="str">
        <f t="shared" si="228"/>
        <v>rao,rajiv</v>
      </c>
      <c r="DQ86" t="str">
        <f t="shared" si="229"/>
        <v>Name has9characters</v>
      </c>
      <c r="DR86" t="str">
        <f t="shared" si="230"/>
        <v>Check Domain</v>
      </c>
      <c r="DS86" t="str">
        <f t="shared" si="231"/>
        <v>(026</v>
      </c>
      <c r="DT86" t="str">
        <f t="shared" si="232"/>
        <v>CUS085</v>
      </c>
      <c r="DU86" t="str">
        <f t="shared" si="233"/>
        <v>rrao</v>
      </c>
      <c r="DV86" t="str">
        <f t="shared" si="234"/>
        <v>prd085</v>
      </c>
      <c r="DW86" t="str">
        <f t="shared" si="235"/>
        <v>(02678) 2468-135</v>
      </c>
      <c r="DX86" t="str">
        <f t="shared" si="236"/>
        <v>2025</v>
      </c>
      <c r="DY86" t="str">
        <f t="shared" si="237"/>
        <v>r</v>
      </c>
      <c r="DZ86" t="str">
        <f t="shared" si="238"/>
        <v>rajivrao@handle SOLUTIONS cinema.com</v>
      </c>
      <c r="EA86" t="str">
        <f t="shared" si="239"/>
        <v>Retail</v>
      </c>
      <c r="EB86" t="str">
        <f t="shared" si="240"/>
        <v>mail.in</v>
      </c>
      <c r="EC86">
        <f t="shared" si="241"/>
        <v>24</v>
      </c>
      <c r="ED86" t="str">
        <f t="shared" si="242"/>
        <v>da85</v>
      </c>
      <c r="EE86" t="str">
        <f t="shared" si="243"/>
        <v>dahod- GUJARAT(389151)</v>
      </c>
      <c r="EF86" t="str">
        <f t="shared" si="244"/>
        <v>026782468135</v>
      </c>
      <c r="EG86" t="str">
        <f t="shared" si="245"/>
        <v>CUST-085</v>
      </c>
      <c r="EH86" t="str">
        <f t="shared" si="246"/>
        <v>public</v>
      </c>
      <c r="EI86" t="str">
        <f t="shared" si="247"/>
        <v>PRD-085-31Aug25</v>
      </c>
      <c r="EJ86" t="str">
        <f t="shared" si="248"/>
        <v>Retail</v>
      </c>
    </row>
    <row r="87" spans="1:140" x14ac:dyDescent="0.3">
      <c r="A87" t="s">
        <v>1122</v>
      </c>
      <c r="B87" t="s">
        <v>1557</v>
      </c>
      <c r="C87" t="s">
        <v>1517</v>
      </c>
      <c r="D87" t="s">
        <v>1123</v>
      </c>
      <c r="E87" t="s">
        <v>1124</v>
      </c>
      <c r="F87" t="s">
        <v>1125</v>
      </c>
      <c r="G87" t="s">
        <v>1126</v>
      </c>
      <c r="H87" t="s">
        <v>1694</v>
      </c>
      <c r="I87" t="s">
        <v>1594</v>
      </c>
      <c r="J87">
        <v>389001</v>
      </c>
      <c r="K87" t="str">
        <f t="shared" si="138"/>
        <v>GODHRA, Gujarat,389001</v>
      </c>
      <c r="L87" t="s">
        <v>1127</v>
      </c>
      <c r="M87" t="s">
        <v>1128</v>
      </c>
      <c r="N87" t="s">
        <v>1129</v>
      </c>
      <c r="O87" t="s">
        <v>36</v>
      </c>
      <c r="P87" t="s">
        <v>1130</v>
      </c>
      <c r="Q87" t="s">
        <v>1131</v>
      </c>
      <c r="R87" t="s">
        <v>1132</v>
      </c>
      <c r="S87" t="s">
        <v>1133</v>
      </c>
      <c r="T87" t="s">
        <v>1134</v>
      </c>
      <c r="U87" t="str">
        <f t="shared" si="129"/>
        <v xml:space="preserve">  KAVERI KAPOOR</v>
      </c>
      <c r="V87" t="str">
        <f t="shared" si="130"/>
        <v>kaveri_kapoor@email.in</v>
      </c>
      <c r="W87" t="str">
        <f t="shared" si="139"/>
        <v>Godhra</v>
      </c>
      <c r="X87" t="str">
        <f t="shared" si="131"/>
        <v>KAVERI kapoor</v>
      </c>
      <c r="Y87" t="str">
        <f t="shared" si="140"/>
        <v>WHOLESALE</v>
      </c>
      <c r="Z87" t="str">
        <f t="shared" si="141"/>
        <v>clamp store india</v>
      </c>
      <c r="AA87" t="str">
        <f t="shared" si="142"/>
        <v>Rigging Specialist</v>
      </c>
      <c r="AB87" t="str">
        <f t="shared" si="132"/>
        <v>951 Khambhat Road</v>
      </c>
      <c r="AC87" t="str">
        <f t="shared" si="143"/>
        <v>DEPT-RIG-086</v>
      </c>
      <c r="AD87" t="str">
        <f t="shared" si="144"/>
        <v>Smallrig Super Clamp</v>
      </c>
      <c r="AE87" t="str">
        <f t="shared" si="145"/>
        <v>www.clamps.in</v>
      </c>
      <c r="AF87" t="str">
        <f t="shared" si="146"/>
        <v>1/4 and 3/8 threads</v>
      </c>
      <c r="AG87" t="str">
        <f t="shared" si="133"/>
        <v>CUST086</v>
      </c>
      <c r="AH87" t="str">
        <f t="shared" si="147"/>
        <v>PRD-CLAMP-086</v>
      </c>
      <c r="AI87" t="str">
        <f t="shared" si="134"/>
        <v xml:space="preserve">  Kaveri Kapoor</v>
      </c>
      <c r="AJ87" t="str">
        <f t="shared" si="135"/>
        <v>02672-34567</v>
      </c>
      <c r="AK87" t="str">
        <f t="shared" si="148"/>
        <v>wholesale</v>
      </c>
      <c r="AL87" t="str">
        <f t="shared" si="149"/>
        <v>Clamp Store India</v>
      </c>
      <c r="AM87" t="str">
        <f t="shared" si="136"/>
        <v>kaveri_kapoor@email.in</v>
      </c>
      <c r="AN87" t="str">
        <f t="shared" si="150"/>
        <v>RIGGING SPECIALIST</v>
      </c>
      <c r="AO87" t="str">
        <f t="shared" si="137"/>
        <v>cust086-  KAVERI kapoor</v>
      </c>
      <c r="AP87" t="str">
        <f t="shared" si="151"/>
        <v>KAVERI kapoor</v>
      </c>
      <c r="AQ87" t="str">
        <f t="shared" si="152"/>
        <v>GODHRA, Gujarat</v>
      </c>
      <c r="AR87" t="str">
        <f t="shared" si="153"/>
        <v>PRD-CLAMP-086:SMALLRIG super CLAMP</v>
      </c>
      <c r="AS87" t="str">
        <f t="shared" si="154"/>
        <v>kaveri_kapoor@email.in|02672-34567</v>
      </c>
      <c r="AT87" t="str">
        <f t="shared" si="155"/>
        <v>CLAMP store INDIA-Rigging Specialist</v>
      </c>
      <c r="AU87" t="str">
        <f t="shared" si="156"/>
        <v>wholesale 07-Sep-2025</v>
      </c>
      <c r="AV87" t="str">
        <f t="shared" si="157"/>
        <v xml:space="preserve">  951 Khambhat Road  ,GODHRA, Gujarat,389001</v>
      </c>
      <c r="AW87" t="str">
        <f t="shared" si="158"/>
        <v>DEPT-RIG-086_Rigging Specialist</v>
      </c>
      <c r="AX87" t="str">
        <f t="shared" si="159"/>
        <v>Customer ID:cust086</v>
      </c>
      <c r="AY87" t="str">
        <f t="shared" si="160"/>
        <v>Email:kaveri_kapoor@email.in</v>
      </c>
      <c r="AZ87" t="str">
        <f t="shared" si="161"/>
        <v>www.clamps.in/contact</v>
      </c>
      <c r="BA87" t="str">
        <f t="shared" si="162"/>
        <v>Order Placed On 07-Sep-2025</v>
      </c>
      <c r="BB87" t="str">
        <f t="shared" si="163"/>
        <v xml:space="preserve">  KAVERI kapoor(wholesale)</v>
      </c>
      <c r="BC87" t="str">
        <f t="shared" si="164"/>
        <v>PRD-CLAMP-086/SMALLRIG super CLAMP</v>
      </c>
      <c r="BD87" t="str">
        <f t="shared" si="165"/>
        <v>call 02672-34567</v>
      </c>
      <c r="BE87" t="str">
        <f t="shared" si="166"/>
        <v>CLAMP store INDIA-DEPT-RIG-086</v>
      </c>
      <c r="BF87" t="str">
        <f t="shared" si="167"/>
        <v>cust086-86</v>
      </c>
      <c r="BG87" t="str">
        <f t="shared" si="168"/>
        <v>Customer:   KAVERI kapoor,Type: wholesale</v>
      </c>
      <c r="BH87" t="str">
        <f t="shared" si="169"/>
        <v>GODHRA,india</v>
      </c>
      <c r="BI87" t="str">
        <f t="shared" si="170"/>
        <v>cust</v>
      </c>
      <c r="BJ87" t="str">
        <f t="shared" si="171"/>
        <v>kaveri_kap</v>
      </c>
      <c r="BK87" t="str">
        <f t="shared" si="172"/>
        <v xml:space="preserve">KAVERI </v>
      </c>
      <c r="BL87" t="str">
        <f t="shared" si="173"/>
        <v>PRD-C</v>
      </c>
      <c r="BM87" t="str">
        <f t="shared" si="174"/>
        <v>who</v>
      </c>
      <c r="BN87" t="str">
        <f t="shared" si="175"/>
        <v>02672-34</v>
      </c>
      <c r="BO87" t="str">
        <f t="shared" si="176"/>
        <v>email.in</v>
      </c>
      <c r="BP87" t="str">
        <f t="shared" si="177"/>
        <v>GODHRA</v>
      </c>
      <c r="BQ87" t="str">
        <f t="shared" si="178"/>
        <v>t086</v>
      </c>
      <c r="BR87" t="str">
        <f t="shared" si="179"/>
        <v>kapoor</v>
      </c>
      <c r="BS87" t="str">
        <f t="shared" si="180"/>
        <v>MP-086</v>
      </c>
      <c r="BU87" t="str">
        <f t="shared" si="181"/>
        <v>34567</v>
      </c>
      <c r="BV87" t="str">
        <f t="shared" si="182"/>
        <v>389001</v>
      </c>
      <c r="BW87" t="str">
        <f t="shared" si="183"/>
        <v xml:space="preserve"> Gujarat</v>
      </c>
      <c r="BX87" t="str">
        <f t="shared" si="184"/>
        <v>086</v>
      </c>
      <c r="BY87" t="str">
        <f t="shared" si="185"/>
        <v>RIG</v>
      </c>
      <c r="BZ87" t="str">
        <f t="shared" si="186"/>
        <v>CLAMP</v>
      </c>
      <c r="CA87" t="str">
        <f t="shared" si="187"/>
        <v>Sep</v>
      </c>
      <c r="CB87" t="str">
        <f t="shared" si="188"/>
        <v>AMP s</v>
      </c>
      <c r="CC87">
        <f t="shared" si="189"/>
        <v>14</v>
      </c>
      <c r="CD87">
        <f t="shared" si="190"/>
        <v>15</v>
      </c>
      <c r="CE87">
        <f t="shared" si="191"/>
        <v>22</v>
      </c>
      <c r="CF87">
        <f t="shared" si="192"/>
        <v>1</v>
      </c>
      <c r="CG87">
        <f t="shared" si="193"/>
        <v>20</v>
      </c>
      <c r="CH87">
        <f t="shared" si="194"/>
        <v>7</v>
      </c>
      <c r="CI87">
        <f t="shared" si="195"/>
        <v>7</v>
      </c>
      <c r="CJ87">
        <f t="shared" si="196"/>
        <v>1</v>
      </c>
      <c r="CK87">
        <f t="shared" si="197"/>
        <v>11</v>
      </c>
      <c r="CL87">
        <f t="shared" si="198"/>
        <v>4</v>
      </c>
      <c r="CM87">
        <f t="shared" si="199"/>
        <v>21</v>
      </c>
      <c r="CN87">
        <f t="shared" si="200"/>
        <v>20</v>
      </c>
      <c r="CO87">
        <f t="shared" si="201"/>
        <v>17</v>
      </c>
      <c r="CP87">
        <f t="shared" si="202"/>
        <v>10</v>
      </c>
      <c r="CQ87">
        <f t="shared" si="203"/>
        <v>12</v>
      </c>
      <c r="CR87" t="str">
        <f t="shared" si="204"/>
        <v>not found</v>
      </c>
      <c r="CS87">
        <f t="shared" si="205"/>
        <v>9</v>
      </c>
      <c r="CT87">
        <f t="shared" si="206"/>
        <v>10</v>
      </c>
      <c r="CU87">
        <f t="shared" si="207"/>
        <v>19</v>
      </c>
      <c r="CV87">
        <f t="shared" si="208"/>
        <v>3</v>
      </c>
      <c r="CW87" t="str">
        <f t="shared" si="209"/>
        <v>Customer ID086</v>
      </c>
      <c r="CX87" t="str">
        <f t="shared" si="210"/>
        <v>kaveri_kapoor[AT]email.in</v>
      </c>
      <c r="CY87" t="str">
        <f t="shared" si="211"/>
        <v>Product-CLAMP-086</v>
      </c>
      <c r="CZ87" t="str">
        <f t="shared" si="212"/>
        <v>PRD_CLAMP_086</v>
      </c>
      <c r="DA87" t="str">
        <f t="shared" si="213"/>
        <v>DEPARTMENT-RIG-086</v>
      </c>
      <c r="DB87" t="str">
        <f t="shared" si="214"/>
        <v>KAVERI_KAPOOR@EMAIL.IN</v>
      </c>
      <c r="DC87" t="str">
        <f t="shared" si="215"/>
        <v>https://www..CLAMPS.IN</v>
      </c>
      <c r="DD87" t="str">
        <f t="shared" si="216"/>
        <v>//KAVERI/kapoor</v>
      </c>
      <c r="DE87" t="str">
        <f t="shared" si="217"/>
        <v>wholesale</v>
      </c>
      <c r="DF87" t="str">
        <f t="shared" si="218"/>
        <v>GODHRA; Gujarat;389001</v>
      </c>
      <c r="DG87" t="str">
        <f t="shared" si="219"/>
        <v>Rigging Specialist</v>
      </c>
      <c r="DH87" t="str">
        <f t="shared" si="220"/>
        <v>02672-34567</v>
      </c>
      <c r="DI87" t="str">
        <f t="shared" si="221"/>
        <v>CLAMP store INDIA</v>
      </c>
      <c r="DJ87" t="str">
        <f t="shared" si="222"/>
        <v>www.clamps.in</v>
      </c>
      <c r="DK87" t="str">
        <f t="shared" si="223"/>
        <v xml:space="preserve">    951  Khambhat  Road    </v>
      </c>
      <c r="DL87" t="str">
        <f t="shared" si="224"/>
        <v>kaveri_kapoor</v>
      </c>
      <c r="DM87" t="str">
        <f t="shared" si="225"/>
        <v>KAVERI.kapoor@CLAMP store INDIA.com</v>
      </c>
      <c r="DN87" t="str">
        <f t="shared" si="226"/>
        <v>KAVERI</v>
      </c>
      <c r="DO87" t="str">
        <f t="shared" si="227"/>
        <v>kapoor</v>
      </c>
      <c r="DP87" t="str">
        <f t="shared" si="228"/>
        <v>kapoor,KAVERI</v>
      </c>
      <c r="DQ87" t="str">
        <f t="shared" si="229"/>
        <v>Name has13characters</v>
      </c>
      <c r="DR87" t="str">
        <f t="shared" si="230"/>
        <v>Check Domain</v>
      </c>
      <c r="DS87" t="str">
        <f t="shared" si="231"/>
        <v>0267</v>
      </c>
      <c r="DT87" t="str">
        <f t="shared" si="232"/>
        <v>cus086</v>
      </c>
      <c r="DU87" t="str">
        <f t="shared" si="233"/>
        <v>Kkapoor</v>
      </c>
      <c r="DV87" t="str">
        <f t="shared" si="234"/>
        <v>PRD086</v>
      </c>
      <c r="DW87" t="str">
        <f t="shared" si="235"/>
        <v>02672-34567</v>
      </c>
      <c r="DX87" t="str">
        <f t="shared" si="236"/>
        <v>2025</v>
      </c>
      <c r="DY87" t="str">
        <f t="shared" si="237"/>
        <v>K</v>
      </c>
      <c r="DZ87" t="str">
        <f t="shared" si="238"/>
        <v>KAVERIkapoor@CLAMP store INDIA.com</v>
      </c>
      <c r="EA87" t="str">
        <f t="shared" si="239"/>
        <v>Wholesale</v>
      </c>
      <c r="EB87" t="str">
        <f t="shared" si="240"/>
        <v>email.in</v>
      </c>
      <c r="EC87">
        <f t="shared" si="241"/>
        <v>20</v>
      </c>
      <c r="ED87" t="str">
        <f t="shared" si="242"/>
        <v>GO86</v>
      </c>
      <c r="EE87" t="str">
        <f t="shared" si="243"/>
        <v>GODHRA- Gujarat(389001)</v>
      </c>
      <c r="EF87" t="str">
        <f t="shared" si="244"/>
        <v>0267234567</v>
      </c>
      <c r="EG87" t="str">
        <f t="shared" si="245"/>
        <v>CUST-086</v>
      </c>
      <c r="EH87" t="str">
        <f t="shared" si="246"/>
        <v>public</v>
      </c>
      <c r="EI87" t="str">
        <f t="shared" si="247"/>
        <v>PRD-086-07Sep25</v>
      </c>
      <c r="EJ87" t="str">
        <f t="shared" si="248"/>
        <v>Wholesale</v>
      </c>
    </row>
    <row r="88" spans="1:140" x14ac:dyDescent="0.3">
      <c r="A88" t="s">
        <v>1135</v>
      </c>
      <c r="B88" t="s">
        <v>1558</v>
      </c>
      <c r="C88" t="s">
        <v>1559</v>
      </c>
      <c r="D88" t="s">
        <v>1136</v>
      </c>
      <c r="E88" t="s">
        <v>1137</v>
      </c>
      <c r="F88" t="s">
        <v>1138</v>
      </c>
      <c r="G88" t="s">
        <v>1139</v>
      </c>
      <c r="H88" t="s">
        <v>1628</v>
      </c>
      <c r="I88" t="s">
        <v>1629</v>
      </c>
      <c r="J88">
        <v>390001</v>
      </c>
      <c r="K88" t="str">
        <f t="shared" si="138"/>
        <v>Vadodara, GUJARAT,390001</v>
      </c>
      <c r="L88" t="s">
        <v>1140</v>
      </c>
      <c r="M88" t="s">
        <v>1141</v>
      </c>
      <c r="N88" t="s">
        <v>1142</v>
      </c>
      <c r="O88" t="s">
        <v>132</v>
      </c>
      <c r="P88" t="s">
        <v>1143</v>
      </c>
      <c r="Q88" t="s">
        <v>1144</v>
      </c>
      <c r="R88" t="s">
        <v>1145</v>
      </c>
      <c r="S88" t="s">
        <v>1146</v>
      </c>
      <c r="T88" t="s">
        <v>1147</v>
      </c>
      <c r="U88" t="str">
        <f t="shared" si="129"/>
        <v xml:space="preserve">ARYAN BAJAJ  </v>
      </c>
      <c r="V88" t="str">
        <f t="shared" si="130"/>
        <v>aryan.bajaj@company.in</v>
      </c>
      <c r="W88" t="str">
        <f t="shared" si="139"/>
        <v>Vadodara</v>
      </c>
      <c r="X88" t="str">
        <f t="shared" si="131"/>
        <v>aryan BAJAJ</v>
      </c>
      <c r="Y88" t="str">
        <f t="shared" si="140"/>
        <v>CORPORATE</v>
      </c>
      <c r="Z88" t="str">
        <f t="shared" si="141"/>
        <v xml:space="preserve">  magic arm solutions  </v>
      </c>
      <c r="AA88" t="str">
        <f t="shared" si="142"/>
        <v>Camera Support</v>
      </c>
      <c r="AB88" t="str">
        <f t="shared" si="132"/>
        <v>147 Railway Station</v>
      </c>
      <c r="AC88" t="str">
        <f t="shared" si="143"/>
        <v>DEPT-SUPPORT-087</v>
      </c>
      <c r="AD88" t="str">
        <f t="shared" si="144"/>
        <v>Manfrotto Magic Arm</v>
      </c>
      <c r="AE88" t="str">
        <f t="shared" si="145"/>
        <v>https://arms.in</v>
      </c>
      <c r="AF88" t="str">
        <f t="shared" si="146"/>
        <v>Variable friction needed</v>
      </c>
      <c r="AG88" t="str">
        <f t="shared" si="133"/>
        <v>CUST087</v>
      </c>
      <c r="AH88" t="str">
        <f t="shared" si="147"/>
        <v>PRD-ARM-087</v>
      </c>
      <c r="AI88" t="str">
        <f t="shared" si="134"/>
        <v xml:space="preserve">Aryan Bajaj  </v>
      </c>
      <c r="AJ88" t="str">
        <f t="shared" si="135"/>
        <v>+91-9123789012</v>
      </c>
      <c r="AK88" t="str">
        <f t="shared" si="148"/>
        <v>corporate</v>
      </c>
      <c r="AL88" t="str">
        <f t="shared" si="149"/>
        <v>Magic Arm Solutions</v>
      </c>
      <c r="AM88" t="str">
        <f t="shared" si="136"/>
        <v>aryan.bajaj@company.in</v>
      </c>
      <c r="AN88" t="str">
        <f t="shared" si="150"/>
        <v>CAMERA SUPPORT</v>
      </c>
      <c r="AO88" t="str">
        <f t="shared" si="137"/>
        <v xml:space="preserve">Cust087-aryan BAJAJ  </v>
      </c>
      <c r="AP88" t="str">
        <f t="shared" si="151"/>
        <v>aryan BAJAJ</v>
      </c>
      <c r="AQ88" t="str">
        <f t="shared" si="152"/>
        <v>Vadodara, GUJARAT</v>
      </c>
      <c r="AR88" t="str">
        <f t="shared" si="153"/>
        <v>prd-arm-087:MANFROTTO magic ARM</v>
      </c>
      <c r="AS88" t="str">
        <f t="shared" si="154"/>
        <v>ARYAN.BAJAJ@COMPANY.IN|+91-9123789012</v>
      </c>
      <c r="AT88" t="str">
        <f t="shared" si="155"/>
        <v xml:space="preserve">  MAGIC arm solutions  -CAMERA SUPPORT</v>
      </c>
      <c r="AU88" t="str">
        <f t="shared" si="156"/>
        <v>Corporate 14-Sep-2025</v>
      </c>
      <c r="AV88" t="str">
        <f t="shared" si="157"/>
        <v>147 Railway Station,Vadodara, GUJARAT,390001</v>
      </c>
      <c r="AW88" t="str">
        <f t="shared" si="158"/>
        <v>dept-support-087_CAMERA SUPPORT</v>
      </c>
      <c r="AX88" t="str">
        <f t="shared" si="159"/>
        <v>Customer ID:Cust087</v>
      </c>
      <c r="AY88" t="str">
        <f t="shared" si="160"/>
        <v>Email:ARYAN.BAJAJ@COMPANY.IN</v>
      </c>
      <c r="AZ88" t="str">
        <f t="shared" si="161"/>
        <v>https://arms.in/contact</v>
      </c>
      <c r="BA88" t="str">
        <f t="shared" si="162"/>
        <v>Order Placed On 14-Sep-2025</v>
      </c>
      <c r="BB88" t="str">
        <f t="shared" si="163"/>
        <v>aryan BAJAJ  (Corporate)</v>
      </c>
      <c r="BC88" t="str">
        <f t="shared" si="164"/>
        <v>prd-arm-087/MANFROTTO magic ARM</v>
      </c>
      <c r="BD88" t="str">
        <f t="shared" si="165"/>
        <v>call +91-9123789012</v>
      </c>
      <c r="BE88" t="str">
        <f t="shared" si="166"/>
        <v xml:space="preserve">  MAGIC arm solutions  -dept-support-087</v>
      </c>
      <c r="BF88" t="str">
        <f t="shared" si="167"/>
        <v>Cust087-87</v>
      </c>
      <c r="BG88" t="str">
        <f t="shared" si="168"/>
        <v>Customer: aryan BAJAJ  ,Type: Corporate</v>
      </c>
      <c r="BH88" t="str">
        <f t="shared" si="169"/>
        <v>Vadodara,india</v>
      </c>
      <c r="BI88" t="str">
        <f t="shared" si="170"/>
        <v>Cust</v>
      </c>
      <c r="BJ88" t="str">
        <f t="shared" si="171"/>
        <v>ARYAN.BAJA</v>
      </c>
      <c r="BK88" t="str">
        <f t="shared" si="172"/>
        <v xml:space="preserve">aryan </v>
      </c>
      <c r="BL88" t="str">
        <f t="shared" si="173"/>
        <v>prd-a</v>
      </c>
      <c r="BM88" t="str">
        <f t="shared" si="174"/>
        <v>Cor</v>
      </c>
      <c r="BN88" t="str">
        <f t="shared" si="175"/>
        <v>+91-9123</v>
      </c>
      <c r="BO88" t="str">
        <f t="shared" si="176"/>
        <v>COMPANY.IN</v>
      </c>
      <c r="BP88" t="str">
        <f t="shared" si="177"/>
        <v>Vadodara</v>
      </c>
      <c r="BQ88" t="str">
        <f t="shared" si="178"/>
        <v>t087</v>
      </c>
      <c r="BR88" t="str">
        <f t="shared" si="179"/>
        <v>BAJAJ</v>
      </c>
      <c r="BS88" t="str">
        <f t="shared" si="180"/>
        <v>rm-087</v>
      </c>
      <c r="BU88" t="str">
        <f t="shared" si="181"/>
        <v>89012</v>
      </c>
      <c r="BV88" t="str">
        <f t="shared" si="182"/>
        <v>390001</v>
      </c>
      <c r="BW88" t="str">
        <f t="shared" si="183"/>
        <v xml:space="preserve"> GUJARAT</v>
      </c>
      <c r="BX88" t="str">
        <f t="shared" si="184"/>
        <v>087</v>
      </c>
      <c r="BY88" t="str">
        <f t="shared" si="185"/>
        <v>support</v>
      </c>
      <c r="BZ88" t="str">
        <f t="shared" si="186"/>
        <v>arm</v>
      </c>
      <c r="CA88" t="str">
        <f t="shared" si="187"/>
        <v>Sep</v>
      </c>
      <c r="CB88" t="str">
        <f t="shared" si="188"/>
        <v>MAGIC</v>
      </c>
      <c r="CC88">
        <f t="shared" si="189"/>
        <v>12</v>
      </c>
      <c r="CD88">
        <f t="shared" si="190"/>
        <v>13</v>
      </c>
      <c r="CE88">
        <f t="shared" si="191"/>
        <v>22</v>
      </c>
      <c r="CF88">
        <f t="shared" si="192"/>
        <v>6</v>
      </c>
      <c r="CG88">
        <f t="shared" si="193"/>
        <v>19</v>
      </c>
      <c r="CH88">
        <f t="shared" si="194"/>
        <v>9</v>
      </c>
      <c r="CI88">
        <f t="shared" si="195"/>
        <v>7</v>
      </c>
      <c r="CJ88" t="str">
        <f t="shared" si="196"/>
        <v>Not found</v>
      </c>
      <c r="CK88">
        <f t="shared" si="197"/>
        <v>14</v>
      </c>
      <c r="CL88">
        <f t="shared" si="198"/>
        <v>4</v>
      </c>
      <c r="CM88">
        <f t="shared" si="199"/>
        <v>19</v>
      </c>
      <c r="CN88">
        <f t="shared" si="200"/>
        <v>6</v>
      </c>
      <c r="CO88">
        <f t="shared" si="201"/>
        <v>19</v>
      </c>
      <c r="CP88">
        <f t="shared" si="202"/>
        <v>8</v>
      </c>
      <c r="CQ88">
        <f t="shared" si="203"/>
        <v>16</v>
      </c>
      <c r="CR88">
        <f t="shared" si="204"/>
        <v>7</v>
      </c>
      <c r="CS88">
        <f t="shared" si="205"/>
        <v>9</v>
      </c>
      <c r="CT88">
        <f t="shared" si="206"/>
        <v>8</v>
      </c>
      <c r="CU88">
        <f t="shared" si="207"/>
        <v>24</v>
      </c>
      <c r="CV88">
        <f t="shared" si="208"/>
        <v>3</v>
      </c>
      <c r="CW88" t="str">
        <f t="shared" si="209"/>
        <v>Customer ID087</v>
      </c>
      <c r="CX88" t="str">
        <f t="shared" si="210"/>
        <v>ARYAN.BAJAJ[AT]COMPANY.IN</v>
      </c>
      <c r="CY88" t="str">
        <f t="shared" si="211"/>
        <v>Product-ARM-087</v>
      </c>
      <c r="CZ88" t="str">
        <f t="shared" si="212"/>
        <v>prd_arm_087</v>
      </c>
      <c r="DA88" t="str">
        <f t="shared" si="213"/>
        <v>DEPARTMENT-SUPPORT-087</v>
      </c>
      <c r="DB88" t="str">
        <f t="shared" si="214"/>
        <v>ARYAN.BAJAJ@COMPANY.IN</v>
      </c>
      <c r="DC88" t="str">
        <f t="shared" si="215"/>
        <v>HTTPS://ARMS.IN</v>
      </c>
      <c r="DD88" t="str">
        <f t="shared" si="216"/>
        <v>aryan/BAJAJ//</v>
      </c>
      <c r="DE88" t="str">
        <f t="shared" si="217"/>
        <v>Corporate</v>
      </c>
      <c r="DF88" t="str">
        <f t="shared" si="218"/>
        <v>Vadodara; GUJARAT;390001</v>
      </c>
      <c r="DG88" t="str">
        <f t="shared" si="219"/>
        <v>CAMERA SUPPORT</v>
      </c>
      <c r="DH88" t="str">
        <f t="shared" si="220"/>
        <v>+91-9123789012</v>
      </c>
      <c r="DI88" t="str">
        <f t="shared" si="221"/>
        <v xml:space="preserve">  MAGIC arm solutions  </v>
      </c>
      <c r="DJ88" t="str">
        <f t="shared" si="222"/>
        <v>https:://arms.in</v>
      </c>
      <c r="DK88" t="str">
        <f t="shared" si="223"/>
        <v>147  Railway  Station</v>
      </c>
      <c r="DL88" t="str">
        <f t="shared" si="224"/>
        <v>ARYAN.BAJAJ</v>
      </c>
      <c r="DM88" t="str">
        <f t="shared" si="225"/>
        <v>aryan.BAJAJ@  MAGIC arm solutions  .com</v>
      </c>
      <c r="DN88" t="str">
        <f t="shared" si="226"/>
        <v>aryan</v>
      </c>
      <c r="DO88" t="str">
        <f t="shared" si="227"/>
        <v>BAJAJ</v>
      </c>
      <c r="DP88" t="str">
        <f t="shared" si="228"/>
        <v>BAJAJ,aryan</v>
      </c>
      <c r="DQ88" t="str">
        <f t="shared" si="229"/>
        <v>Name has11characters</v>
      </c>
      <c r="DR88" t="str">
        <f t="shared" si="230"/>
        <v>Check Domain</v>
      </c>
      <c r="DS88" t="str">
        <f t="shared" si="231"/>
        <v>+91-</v>
      </c>
      <c r="DT88" t="str">
        <f t="shared" si="232"/>
        <v>Cus087</v>
      </c>
      <c r="DU88" t="str">
        <f t="shared" si="233"/>
        <v>abajaj</v>
      </c>
      <c r="DV88" t="str">
        <f t="shared" si="234"/>
        <v>prd087</v>
      </c>
      <c r="DW88" t="str">
        <f t="shared" si="235"/>
        <v>+91-9123789012</v>
      </c>
      <c r="DX88" t="str">
        <f t="shared" si="236"/>
        <v>2025</v>
      </c>
      <c r="DY88" t="str">
        <f t="shared" si="237"/>
        <v>a</v>
      </c>
      <c r="DZ88" t="str">
        <f t="shared" si="238"/>
        <v>aryanBAJAJ@  MAGIC arm solutions  .com</v>
      </c>
      <c r="EA88" t="str">
        <f t="shared" si="239"/>
        <v/>
      </c>
      <c r="EB88" t="str">
        <f t="shared" si="240"/>
        <v>COMPANY.IN</v>
      </c>
      <c r="EC88">
        <f t="shared" si="241"/>
        <v>19</v>
      </c>
      <c r="ED88" t="str">
        <f t="shared" si="242"/>
        <v>Va87</v>
      </c>
      <c r="EE88" t="str">
        <f t="shared" si="243"/>
        <v>Vadodara- GUJARAT(390001)</v>
      </c>
      <c r="EF88" t="str">
        <f t="shared" si="244"/>
        <v>919123789012</v>
      </c>
      <c r="EG88" t="str">
        <f t="shared" si="245"/>
        <v>CUST-087</v>
      </c>
      <c r="EH88" t="str">
        <f t="shared" si="246"/>
        <v>public</v>
      </c>
      <c r="EI88" t="str">
        <f t="shared" si="247"/>
        <v>PRD-087-14Sep25</v>
      </c>
      <c r="EJ88" t="str">
        <f t="shared" si="248"/>
        <v>Corporate</v>
      </c>
    </row>
    <row r="89" spans="1:140" x14ac:dyDescent="0.3">
      <c r="A89" t="s">
        <v>1148</v>
      </c>
      <c r="B89" t="s">
        <v>1560</v>
      </c>
      <c r="C89" t="s">
        <v>1527</v>
      </c>
      <c r="D89" t="s">
        <v>1149</v>
      </c>
      <c r="E89" t="s">
        <v>1150</v>
      </c>
      <c r="F89" t="s">
        <v>1151</v>
      </c>
      <c r="G89" t="s">
        <v>1152</v>
      </c>
      <c r="H89" t="s">
        <v>1695</v>
      </c>
      <c r="I89" t="s">
        <v>1629</v>
      </c>
      <c r="J89">
        <v>360001</v>
      </c>
      <c r="K89" t="str">
        <f t="shared" si="138"/>
        <v>rajkot, GUJARAT,360001</v>
      </c>
      <c r="L89" t="s">
        <v>1153</v>
      </c>
      <c r="M89" t="s">
        <v>1154</v>
      </c>
      <c r="N89" t="s">
        <v>1155</v>
      </c>
      <c r="O89" t="s">
        <v>78</v>
      </c>
      <c r="P89" t="s">
        <v>1156</v>
      </c>
      <c r="Q89" t="s">
        <v>1157</v>
      </c>
      <c r="R89" t="s">
        <v>1158</v>
      </c>
      <c r="S89" t="s">
        <v>1159</v>
      </c>
      <c r="T89" t="s">
        <v>1160</v>
      </c>
      <c r="U89" t="str">
        <f t="shared" si="129"/>
        <v>SANGITA CHAUHAN</v>
      </c>
      <c r="V89" t="str">
        <f t="shared" si="130"/>
        <v>sangita.chauhan@mail.in</v>
      </c>
      <c r="W89" t="str">
        <f t="shared" si="139"/>
        <v>Rajkot</v>
      </c>
      <c r="X89" t="str">
        <f t="shared" si="131"/>
        <v>sangita chauhan</v>
      </c>
      <c r="Y89" t="str">
        <f t="shared" si="140"/>
        <v>RETAIL</v>
      </c>
      <c r="Z89" t="str">
        <f t="shared" si="141"/>
        <v>quick release india</v>
      </c>
      <c r="AA89" t="str">
        <f t="shared" si="142"/>
        <v>Camera Assistant</v>
      </c>
      <c r="AB89" t="str">
        <f t="shared" si="132"/>
        <v>258 Jawahar Road</v>
      </c>
      <c r="AC89" t="str">
        <f t="shared" si="143"/>
        <v>DEPT-ASSIST-088</v>
      </c>
      <c r="AD89" t="str">
        <f t="shared" si="144"/>
        <v>Arca Swiss Quick Release Plate</v>
      </c>
      <c r="AE89" t="str">
        <f t="shared" si="145"/>
        <v>www.plates.com</v>
      </c>
      <c r="AF89" t="str">
        <f t="shared" si="146"/>
        <v>Arca-Swiss standard</v>
      </c>
      <c r="AG89" t="str">
        <f t="shared" si="133"/>
        <v>CUST088</v>
      </c>
      <c r="AH89" t="str">
        <f t="shared" si="147"/>
        <v>PRD-PLATE-088</v>
      </c>
      <c r="AI89" t="str">
        <f t="shared" si="134"/>
        <v>Sangita Chauhan</v>
      </c>
      <c r="AJ89" t="str">
        <f t="shared" si="135"/>
        <v>(0281) 9876-5432</v>
      </c>
      <c r="AK89" t="str">
        <f t="shared" si="148"/>
        <v>retail</v>
      </c>
      <c r="AL89" t="str">
        <f t="shared" si="149"/>
        <v>Quick Release India</v>
      </c>
      <c r="AM89" t="str">
        <f t="shared" si="136"/>
        <v>sangita.chauhan@mail.in</v>
      </c>
      <c r="AN89" t="str">
        <f t="shared" si="150"/>
        <v>CAMERA ASSISTANT</v>
      </c>
      <c r="AO89" t="str">
        <f t="shared" si="137"/>
        <v>CUST088-sangita chauhan</v>
      </c>
      <c r="AP89" t="str">
        <f t="shared" si="151"/>
        <v>sangita chauhan</v>
      </c>
      <c r="AQ89" t="str">
        <f t="shared" si="152"/>
        <v>rajkot, GUJARAT</v>
      </c>
      <c r="AR89" t="str">
        <f t="shared" si="153"/>
        <v>prd-plate-088:ARCA swiss quick RELEASE plate</v>
      </c>
      <c r="AS89" t="str">
        <f t="shared" si="154"/>
        <v>sangita.chauhan@mail.in|(0281) 9876-5432</v>
      </c>
      <c r="AT89" t="str">
        <f t="shared" si="155"/>
        <v>quick RELEASE india-Camera Assistant</v>
      </c>
      <c r="AU89" t="str">
        <f t="shared" si="156"/>
        <v>retail 21-Sep-2025</v>
      </c>
      <c r="AV89" t="str">
        <f t="shared" si="157"/>
        <v>258 Jawahar Road,rajkot, GUJARAT,360001</v>
      </c>
      <c r="AW89" t="str">
        <f t="shared" si="158"/>
        <v>dept-assist-088_Camera Assistant</v>
      </c>
      <c r="AX89" t="str">
        <f t="shared" si="159"/>
        <v>Customer ID:CUST088</v>
      </c>
      <c r="AY89" t="str">
        <f t="shared" si="160"/>
        <v>Email:sangita.chauhan@mail.in</v>
      </c>
      <c r="AZ89" t="str">
        <f t="shared" si="161"/>
        <v>WWW.PLATES.COM/contact</v>
      </c>
      <c r="BA89" t="str">
        <f t="shared" si="162"/>
        <v>Order Placed On 21-Sep-2025</v>
      </c>
      <c r="BB89" t="str">
        <f t="shared" si="163"/>
        <v>sangita chauhan(retail)</v>
      </c>
      <c r="BC89" t="str">
        <f t="shared" si="164"/>
        <v>prd-plate-088/ARCA swiss quick RELEASE plate</v>
      </c>
      <c r="BD89" t="str">
        <f t="shared" si="165"/>
        <v>call (0281) 9876-5432</v>
      </c>
      <c r="BE89" t="str">
        <f t="shared" si="166"/>
        <v>quick RELEASE india-dept-assist-088</v>
      </c>
      <c r="BF89" t="str">
        <f t="shared" si="167"/>
        <v>CUST088-88</v>
      </c>
      <c r="BG89" t="str">
        <f t="shared" si="168"/>
        <v>Customer: sangita chauhan,Type: retail</v>
      </c>
      <c r="BH89" t="str">
        <f t="shared" si="169"/>
        <v>rajkot,india</v>
      </c>
      <c r="BI89" t="str">
        <f t="shared" si="170"/>
        <v>CUST</v>
      </c>
      <c r="BJ89" t="str">
        <f t="shared" si="171"/>
        <v>sangita.ch</v>
      </c>
      <c r="BK89" t="str">
        <f t="shared" si="172"/>
        <v xml:space="preserve">sangita </v>
      </c>
      <c r="BL89" t="str">
        <f t="shared" si="173"/>
        <v>prd-p</v>
      </c>
      <c r="BM89" t="str">
        <f t="shared" si="174"/>
        <v>ret</v>
      </c>
      <c r="BN89" t="str">
        <f t="shared" si="175"/>
        <v>(0281) 9</v>
      </c>
      <c r="BO89" t="str">
        <f t="shared" si="176"/>
        <v>mail.in</v>
      </c>
      <c r="BP89" t="str">
        <f t="shared" si="177"/>
        <v>rajkot</v>
      </c>
      <c r="BQ89" t="str">
        <f t="shared" si="178"/>
        <v>T088</v>
      </c>
      <c r="BR89" t="str">
        <f t="shared" si="179"/>
        <v>chauhan</v>
      </c>
      <c r="BS89" t="str">
        <f t="shared" si="180"/>
        <v>te-088</v>
      </c>
      <c r="BU89" t="str">
        <f t="shared" si="181"/>
        <v>-5432</v>
      </c>
      <c r="BV89" t="str">
        <f t="shared" si="182"/>
        <v>360001</v>
      </c>
      <c r="BW89" t="str">
        <f t="shared" si="183"/>
        <v xml:space="preserve"> GUJARAT</v>
      </c>
      <c r="BX89" t="str">
        <f t="shared" si="184"/>
        <v>088</v>
      </c>
      <c r="BY89" t="str">
        <f t="shared" si="185"/>
        <v>assist</v>
      </c>
      <c r="BZ89" t="str">
        <f t="shared" si="186"/>
        <v>plate</v>
      </c>
      <c r="CA89" t="str">
        <f t="shared" si="187"/>
        <v>Sep</v>
      </c>
      <c r="CB89" t="str">
        <f t="shared" si="188"/>
        <v>ick R</v>
      </c>
      <c r="CC89">
        <f t="shared" si="189"/>
        <v>16</v>
      </c>
      <c r="CD89">
        <f t="shared" si="190"/>
        <v>15</v>
      </c>
      <c r="CE89">
        <f t="shared" si="191"/>
        <v>23</v>
      </c>
      <c r="CF89">
        <f t="shared" si="192"/>
        <v>8</v>
      </c>
      <c r="CG89">
        <f t="shared" si="193"/>
        <v>30</v>
      </c>
      <c r="CH89">
        <f t="shared" si="194"/>
        <v>7</v>
      </c>
      <c r="CI89">
        <f t="shared" si="195"/>
        <v>7</v>
      </c>
      <c r="CJ89" t="str">
        <f t="shared" si="196"/>
        <v>Not found</v>
      </c>
      <c r="CK89">
        <f t="shared" si="197"/>
        <v>16</v>
      </c>
      <c r="CL89">
        <f t="shared" si="198"/>
        <v>4</v>
      </c>
      <c r="CM89">
        <f t="shared" si="199"/>
        <v>16</v>
      </c>
      <c r="CN89">
        <f t="shared" si="200"/>
        <v>8</v>
      </c>
      <c r="CO89">
        <f t="shared" si="201"/>
        <v>19</v>
      </c>
      <c r="CP89">
        <f t="shared" si="202"/>
        <v>10</v>
      </c>
      <c r="CQ89">
        <f t="shared" si="203"/>
        <v>15</v>
      </c>
      <c r="CR89" t="str">
        <f t="shared" si="204"/>
        <v>not found</v>
      </c>
      <c r="CS89">
        <f t="shared" si="205"/>
        <v>6</v>
      </c>
      <c r="CT89">
        <f t="shared" si="206"/>
        <v>10</v>
      </c>
      <c r="CU89">
        <f t="shared" si="207"/>
        <v>23</v>
      </c>
      <c r="CV89">
        <f t="shared" si="208"/>
        <v>3</v>
      </c>
      <c r="CW89" t="str">
        <f t="shared" si="209"/>
        <v>Customer ID088</v>
      </c>
      <c r="CX89" t="str">
        <f t="shared" si="210"/>
        <v>sangita.chauhan[AT]mail.in</v>
      </c>
      <c r="CY89" t="str">
        <f t="shared" si="211"/>
        <v>Product-PLATE-088</v>
      </c>
      <c r="CZ89" t="str">
        <f t="shared" si="212"/>
        <v>prd_plate_088</v>
      </c>
      <c r="DA89" t="str">
        <f t="shared" si="213"/>
        <v>DEPARTMENT-ASSIST-088</v>
      </c>
      <c r="DB89" t="str">
        <f t="shared" si="214"/>
        <v>SANGITA.CHAUHAN@MAIL.IN</v>
      </c>
      <c r="DC89" t="str">
        <f t="shared" si="215"/>
        <v>https://www..PLATES.COM</v>
      </c>
      <c r="DD89" t="str">
        <f t="shared" si="216"/>
        <v>sangita/chauhan</v>
      </c>
      <c r="DE89" t="str">
        <f t="shared" si="217"/>
        <v>RETAIL CUSTOMER</v>
      </c>
      <c r="DF89" t="str">
        <f t="shared" si="218"/>
        <v>rajkot; GUJARAT;360001</v>
      </c>
      <c r="DG89" t="str">
        <f t="shared" si="219"/>
        <v>Camera Assistant</v>
      </c>
      <c r="DH89" t="str">
        <f t="shared" si="220"/>
        <v xml:space="preserve"> 0281  9876-5432</v>
      </c>
      <c r="DI89" t="str">
        <f t="shared" si="221"/>
        <v>quick RELEASE india</v>
      </c>
      <c r="DJ89" t="str">
        <f t="shared" si="222"/>
        <v>WWW.PLATES.COM</v>
      </c>
      <c r="DK89" t="str">
        <f t="shared" si="223"/>
        <v>258  Jawahar  Road</v>
      </c>
      <c r="DL89" t="str">
        <f t="shared" si="224"/>
        <v>sangita.chauhan</v>
      </c>
      <c r="DM89" t="str">
        <f t="shared" si="225"/>
        <v>sangita.chauhan@quick RELEASE india.com</v>
      </c>
      <c r="DN89" t="str">
        <f t="shared" si="226"/>
        <v>sangita</v>
      </c>
      <c r="DO89" t="str">
        <f t="shared" si="227"/>
        <v>chauhan</v>
      </c>
      <c r="DP89" t="str">
        <f t="shared" si="228"/>
        <v>chauhan,sangita</v>
      </c>
      <c r="DQ89" t="str">
        <f t="shared" si="229"/>
        <v>Name has15characters</v>
      </c>
      <c r="DR89" t="str">
        <f t="shared" si="230"/>
        <v>Check Domain</v>
      </c>
      <c r="DS89" t="str">
        <f t="shared" si="231"/>
        <v>(028</v>
      </c>
      <c r="DT89" t="str">
        <f t="shared" si="232"/>
        <v>CUS088</v>
      </c>
      <c r="DU89" t="str">
        <f t="shared" si="233"/>
        <v>schauhan</v>
      </c>
      <c r="DV89" t="str">
        <f t="shared" si="234"/>
        <v>prd088</v>
      </c>
      <c r="DW89" t="str">
        <f t="shared" si="235"/>
        <v>(0281) 9876-5432</v>
      </c>
      <c r="DX89" t="str">
        <f t="shared" si="236"/>
        <v>2025</v>
      </c>
      <c r="DY89" t="str">
        <f t="shared" si="237"/>
        <v>s</v>
      </c>
      <c r="DZ89" t="str">
        <f t="shared" si="238"/>
        <v>sangitachauhan@quick RELEASE india.com</v>
      </c>
      <c r="EA89" t="str">
        <f t="shared" si="239"/>
        <v>Retail</v>
      </c>
      <c r="EB89" t="str">
        <f t="shared" si="240"/>
        <v>mail.in</v>
      </c>
      <c r="EC89">
        <f t="shared" si="241"/>
        <v>30</v>
      </c>
      <c r="ED89" t="str">
        <f t="shared" si="242"/>
        <v>ra88</v>
      </c>
      <c r="EE89" t="str">
        <f t="shared" si="243"/>
        <v>rajkot- GUJARAT(360001)</v>
      </c>
      <c r="EF89" t="str">
        <f t="shared" si="244"/>
        <v>028198765432</v>
      </c>
      <c r="EG89" t="str">
        <f t="shared" si="245"/>
        <v>CUST-088</v>
      </c>
      <c r="EH89" t="str">
        <f t="shared" si="246"/>
        <v>public</v>
      </c>
      <c r="EI89" t="str">
        <f t="shared" si="247"/>
        <v>PRD-088-21Sep25</v>
      </c>
      <c r="EJ89" t="str">
        <f t="shared" si="248"/>
        <v>Retail</v>
      </c>
    </row>
    <row r="90" spans="1:140" x14ac:dyDescent="0.3">
      <c r="A90" t="s">
        <v>1161</v>
      </c>
      <c r="B90" t="s">
        <v>1561</v>
      </c>
      <c r="C90" t="s">
        <v>1462</v>
      </c>
      <c r="D90" t="s">
        <v>1162</v>
      </c>
      <c r="E90" t="s">
        <v>1163</v>
      </c>
      <c r="F90" t="s">
        <v>1164</v>
      </c>
      <c r="G90" t="s">
        <v>1165</v>
      </c>
      <c r="H90" t="s">
        <v>1696</v>
      </c>
      <c r="I90" t="s">
        <v>1594</v>
      </c>
      <c r="J90">
        <v>370001</v>
      </c>
      <c r="K90" t="str">
        <f t="shared" si="138"/>
        <v>BHUJ, Gujarat,370001</v>
      </c>
      <c r="L90" t="s">
        <v>1166</v>
      </c>
      <c r="M90" t="s">
        <v>1167</v>
      </c>
      <c r="N90" t="s">
        <v>1168</v>
      </c>
      <c r="O90" t="s">
        <v>92</v>
      </c>
      <c r="P90" t="s">
        <v>1169</v>
      </c>
      <c r="Q90" t="s">
        <v>1170</v>
      </c>
      <c r="R90" t="s">
        <v>1171</v>
      </c>
      <c r="S90" t="s">
        <v>1172</v>
      </c>
      <c r="T90" t="s">
        <v>1173</v>
      </c>
      <c r="U90" t="str">
        <f t="shared" si="129"/>
        <v xml:space="preserve">  LALIT AGARWAL</v>
      </c>
      <c r="V90" t="str">
        <f t="shared" si="130"/>
        <v>lalit_agarwal@email.in</v>
      </c>
      <c r="W90" t="str">
        <f t="shared" si="139"/>
        <v>Bhuj</v>
      </c>
      <c r="X90" t="str">
        <f t="shared" si="131"/>
        <v>LALIT agarwal</v>
      </c>
      <c r="Y90" t="str">
        <f t="shared" si="140"/>
        <v>WHOLESALE</v>
      </c>
      <c r="Z90" t="str">
        <f t="shared" si="141"/>
        <v>tripod head solutions</v>
      </c>
      <c r="AA90" t="str">
        <f t="shared" si="142"/>
        <v>Product Photographer</v>
      </c>
      <c r="AB90" t="str">
        <f t="shared" si="132"/>
        <v>369 ST Stand</v>
      </c>
      <c r="AC90" t="str">
        <f t="shared" si="143"/>
        <v>DEPT-PHOTO-089</v>
      </c>
      <c r="AD90" t="str">
        <f t="shared" si="144"/>
        <v>Manfrotto Ball Head</v>
      </c>
      <c r="AE90" t="str">
        <f t="shared" si="145"/>
        <v>www.heads.in</v>
      </c>
      <c r="AF90" t="str">
        <f t="shared" si="146"/>
        <v>Load capacity: 10kg</v>
      </c>
      <c r="AG90" t="str">
        <f t="shared" si="133"/>
        <v>CUST089</v>
      </c>
      <c r="AH90" t="str">
        <f t="shared" si="147"/>
        <v>PRD-HEAD-089</v>
      </c>
      <c r="AI90" t="str">
        <f t="shared" si="134"/>
        <v xml:space="preserve">  Lalit Agarwal</v>
      </c>
      <c r="AJ90" t="str">
        <f t="shared" si="135"/>
        <v>02837-23456</v>
      </c>
      <c r="AK90" t="str">
        <f t="shared" si="148"/>
        <v>wholesale</v>
      </c>
      <c r="AL90" t="str">
        <f t="shared" si="149"/>
        <v>Tripod Head Solutions</v>
      </c>
      <c r="AM90" t="str">
        <f t="shared" si="136"/>
        <v>lalit_agarwal@email.in</v>
      </c>
      <c r="AN90" t="str">
        <f t="shared" si="150"/>
        <v>PRODUCT PHOTOGRAPHER</v>
      </c>
      <c r="AO90" t="str">
        <f t="shared" si="137"/>
        <v>cust089-  LALIT agarwal</v>
      </c>
      <c r="AP90" t="str">
        <f t="shared" si="151"/>
        <v>LALIT agarwal</v>
      </c>
      <c r="AQ90" t="str">
        <f t="shared" si="152"/>
        <v>BHUJ, Gujarat</v>
      </c>
      <c r="AR90" t="str">
        <f t="shared" si="153"/>
        <v>PRD-HEAD-089:MANFROTTO ball HEAD</v>
      </c>
      <c r="AS90" t="str">
        <f t="shared" si="154"/>
        <v>lalit_agarwal@email.in|02837-23456</v>
      </c>
      <c r="AT90" t="str">
        <f t="shared" si="155"/>
        <v>TRIPOD head SOLUTIONS-Product Photographer</v>
      </c>
      <c r="AU90" t="str">
        <f t="shared" si="156"/>
        <v>WholeSale 28-Sep-2025</v>
      </c>
      <c r="AV90" t="str">
        <f t="shared" si="157"/>
        <v xml:space="preserve">  369 ST Stand  ,BHUJ, Gujarat,370001</v>
      </c>
      <c r="AW90" t="str">
        <f t="shared" si="158"/>
        <v>DEPT-PHOTO-089_Product Photographer</v>
      </c>
      <c r="AX90" t="str">
        <f t="shared" si="159"/>
        <v>Customer ID:cust089</v>
      </c>
      <c r="AY90" t="str">
        <f t="shared" si="160"/>
        <v>Email:lalit_agarwal@email.in</v>
      </c>
      <c r="AZ90" t="str">
        <f t="shared" si="161"/>
        <v>www.heads.in/contact</v>
      </c>
      <c r="BA90" t="str">
        <f t="shared" si="162"/>
        <v>Order Placed On 28-Sep-2025</v>
      </c>
      <c r="BB90" t="str">
        <f t="shared" si="163"/>
        <v xml:space="preserve">  LALIT agarwal(WholeSale)</v>
      </c>
      <c r="BC90" t="str">
        <f t="shared" si="164"/>
        <v>PRD-HEAD-089/MANFROTTO ball HEAD</v>
      </c>
      <c r="BD90" t="str">
        <f t="shared" si="165"/>
        <v>call 02837-23456</v>
      </c>
      <c r="BE90" t="str">
        <f t="shared" si="166"/>
        <v>TRIPOD head SOLUTIONS-DEPT-PHOTO-089</v>
      </c>
      <c r="BF90" t="str">
        <f t="shared" si="167"/>
        <v>cust089-89</v>
      </c>
      <c r="BG90" t="str">
        <f t="shared" si="168"/>
        <v>Customer:   LALIT agarwal,Type: WholeSale</v>
      </c>
      <c r="BH90" t="str">
        <f t="shared" si="169"/>
        <v>BHUJ,india</v>
      </c>
      <c r="BI90" t="str">
        <f t="shared" si="170"/>
        <v>cust</v>
      </c>
      <c r="BJ90" t="str">
        <f t="shared" si="171"/>
        <v>lalit_agar</v>
      </c>
      <c r="BK90" t="str">
        <f t="shared" si="172"/>
        <v xml:space="preserve">LALIT </v>
      </c>
      <c r="BL90" t="str">
        <f t="shared" si="173"/>
        <v>PRD-H</v>
      </c>
      <c r="BM90" t="str">
        <f t="shared" si="174"/>
        <v>Who</v>
      </c>
      <c r="BN90" t="str">
        <f t="shared" si="175"/>
        <v>02837-23</v>
      </c>
      <c r="BO90" t="str">
        <f t="shared" si="176"/>
        <v>email.in</v>
      </c>
      <c r="BP90" t="str">
        <f t="shared" si="177"/>
        <v>BHUJ</v>
      </c>
      <c r="BQ90" t="str">
        <f t="shared" si="178"/>
        <v>t089</v>
      </c>
      <c r="BR90" t="str">
        <f t="shared" si="179"/>
        <v>arwal</v>
      </c>
      <c r="BS90" t="str">
        <f t="shared" si="180"/>
        <v>AD-089</v>
      </c>
      <c r="BU90" t="str">
        <f t="shared" si="181"/>
        <v>23456</v>
      </c>
      <c r="BV90" t="str">
        <f t="shared" si="182"/>
        <v>370001</v>
      </c>
      <c r="BW90" t="str">
        <f t="shared" si="183"/>
        <v xml:space="preserve"> Gujarat</v>
      </c>
      <c r="BX90" t="str">
        <f t="shared" si="184"/>
        <v>089</v>
      </c>
      <c r="BY90" t="str">
        <f t="shared" si="185"/>
        <v>PHOTO</v>
      </c>
      <c r="BZ90" t="str">
        <f t="shared" si="186"/>
        <v>HEAD</v>
      </c>
      <c r="CA90" t="str">
        <f t="shared" si="187"/>
        <v>Sep</v>
      </c>
      <c r="CB90" t="str">
        <f t="shared" si="188"/>
        <v xml:space="preserve">IPOD </v>
      </c>
      <c r="CC90">
        <f t="shared" si="189"/>
        <v>14</v>
      </c>
      <c r="CD90">
        <f t="shared" si="190"/>
        <v>15</v>
      </c>
      <c r="CE90">
        <f t="shared" si="191"/>
        <v>22</v>
      </c>
      <c r="CF90">
        <f t="shared" si="192"/>
        <v>1</v>
      </c>
      <c r="CG90">
        <f t="shared" si="193"/>
        <v>19</v>
      </c>
      <c r="CH90">
        <f t="shared" si="194"/>
        <v>5</v>
      </c>
      <c r="CI90">
        <f t="shared" si="195"/>
        <v>7</v>
      </c>
      <c r="CJ90">
        <f t="shared" si="196"/>
        <v>1</v>
      </c>
      <c r="CK90">
        <f t="shared" si="197"/>
        <v>11</v>
      </c>
      <c r="CL90">
        <f t="shared" si="198"/>
        <v>4</v>
      </c>
      <c r="CM90">
        <f t="shared" si="199"/>
        <v>16</v>
      </c>
      <c r="CN90">
        <f t="shared" si="200"/>
        <v>20</v>
      </c>
      <c r="CO90">
        <f t="shared" si="201"/>
        <v>21</v>
      </c>
      <c r="CP90">
        <f t="shared" si="202"/>
        <v>9</v>
      </c>
      <c r="CQ90">
        <f t="shared" si="203"/>
        <v>14</v>
      </c>
      <c r="CR90" t="str">
        <f t="shared" si="204"/>
        <v>not found</v>
      </c>
      <c r="CS90">
        <f t="shared" si="205"/>
        <v>9</v>
      </c>
      <c r="CT90">
        <f t="shared" si="206"/>
        <v>9</v>
      </c>
      <c r="CU90">
        <f t="shared" si="207"/>
        <v>19</v>
      </c>
      <c r="CV90">
        <f t="shared" si="208"/>
        <v>3</v>
      </c>
      <c r="CW90" t="str">
        <f t="shared" si="209"/>
        <v>Customer ID089</v>
      </c>
      <c r="CX90" t="str">
        <f t="shared" si="210"/>
        <v>lalit_agarwal[AT]email.in</v>
      </c>
      <c r="CY90" t="str">
        <f t="shared" si="211"/>
        <v>Product-HEAD-089</v>
      </c>
      <c r="CZ90" t="str">
        <f t="shared" si="212"/>
        <v>PRD_HEAD_089</v>
      </c>
      <c r="DA90" t="str">
        <f t="shared" si="213"/>
        <v>DEPARTMENT-PHOTO-089</v>
      </c>
      <c r="DB90" t="str">
        <f t="shared" si="214"/>
        <v>LALIT_AGARWAL@EMAIL.IN</v>
      </c>
      <c r="DC90" t="str">
        <f t="shared" si="215"/>
        <v>https://www..HEADS.IN</v>
      </c>
      <c r="DD90" t="str">
        <f t="shared" si="216"/>
        <v>//LALIT/agarwal</v>
      </c>
      <c r="DE90" t="str">
        <f t="shared" si="217"/>
        <v>WholeSale</v>
      </c>
      <c r="DF90" t="str">
        <f t="shared" si="218"/>
        <v>BHUJ; Gujarat;370001</v>
      </c>
      <c r="DG90" t="str">
        <f t="shared" si="219"/>
        <v>Product Photographer</v>
      </c>
      <c r="DH90" t="str">
        <f t="shared" si="220"/>
        <v>02837-23456</v>
      </c>
      <c r="DI90" t="str">
        <f t="shared" si="221"/>
        <v>TRIPOD head SOLUTIONS</v>
      </c>
      <c r="DJ90" t="str">
        <f t="shared" si="222"/>
        <v>www.heads.in</v>
      </c>
      <c r="DK90" t="str">
        <f t="shared" si="223"/>
        <v xml:space="preserve">    369  ST  Stand    </v>
      </c>
      <c r="DL90" t="str">
        <f t="shared" si="224"/>
        <v>lalit_agarwal</v>
      </c>
      <c r="DM90" t="str">
        <f t="shared" si="225"/>
        <v>LALIT.agarwal@TRIPOD head SOLUTIONS.com</v>
      </c>
      <c r="DN90" t="str">
        <f t="shared" si="226"/>
        <v>LALIT</v>
      </c>
      <c r="DO90" t="str">
        <f t="shared" si="227"/>
        <v>agarwal</v>
      </c>
      <c r="DP90" t="str">
        <f t="shared" si="228"/>
        <v>agarwal,LALIT</v>
      </c>
      <c r="DQ90" t="str">
        <f t="shared" si="229"/>
        <v>Name has13characters</v>
      </c>
      <c r="DR90" t="str">
        <f t="shared" si="230"/>
        <v>Check Domain</v>
      </c>
      <c r="DS90" t="str">
        <f t="shared" si="231"/>
        <v>0283</v>
      </c>
      <c r="DT90" t="str">
        <f t="shared" si="232"/>
        <v>cus089</v>
      </c>
      <c r="DU90" t="str">
        <f t="shared" si="233"/>
        <v>Lagarwal</v>
      </c>
      <c r="DV90" t="str">
        <f t="shared" si="234"/>
        <v>PRD089</v>
      </c>
      <c r="DW90" t="str">
        <f t="shared" si="235"/>
        <v>02837-23456</v>
      </c>
      <c r="DX90" t="str">
        <f t="shared" si="236"/>
        <v>2025</v>
      </c>
      <c r="DY90" t="str">
        <f t="shared" si="237"/>
        <v>L</v>
      </c>
      <c r="DZ90" t="str">
        <f t="shared" si="238"/>
        <v>LALITagarwal@TRIPOD head SOLUTIONS.com</v>
      </c>
      <c r="EA90" t="str">
        <f t="shared" si="239"/>
        <v>Wholesale</v>
      </c>
      <c r="EB90" t="str">
        <f t="shared" si="240"/>
        <v>email.in</v>
      </c>
      <c r="EC90">
        <f t="shared" si="241"/>
        <v>19</v>
      </c>
      <c r="ED90" t="str">
        <f t="shared" si="242"/>
        <v>BH89</v>
      </c>
      <c r="EE90" t="str">
        <f t="shared" si="243"/>
        <v>BHUJ- Gujarat(370001)</v>
      </c>
      <c r="EF90" t="str">
        <f t="shared" si="244"/>
        <v>0283723456</v>
      </c>
      <c r="EG90" t="str">
        <f t="shared" si="245"/>
        <v>CUST-089</v>
      </c>
      <c r="EH90" t="str">
        <f t="shared" si="246"/>
        <v>public</v>
      </c>
      <c r="EI90" t="str">
        <f t="shared" si="247"/>
        <v>PRD-089-28Sep25</v>
      </c>
      <c r="EJ90" t="str">
        <f t="shared" si="248"/>
        <v>Wholesale</v>
      </c>
    </row>
    <row r="91" spans="1:140" x14ac:dyDescent="0.3">
      <c r="A91" t="s">
        <v>1174</v>
      </c>
      <c r="B91" t="s">
        <v>1562</v>
      </c>
      <c r="C91" t="s">
        <v>1507</v>
      </c>
      <c r="D91" t="s">
        <v>1175</v>
      </c>
      <c r="E91" t="s">
        <v>1176</v>
      </c>
      <c r="F91" t="s">
        <v>1177</v>
      </c>
      <c r="G91" t="s">
        <v>1178</v>
      </c>
      <c r="H91" t="s">
        <v>1697</v>
      </c>
      <c r="I91" t="s">
        <v>1629</v>
      </c>
      <c r="J91">
        <v>365601</v>
      </c>
      <c r="K91" t="str">
        <f t="shared" si="138"/>
        <v>Amreli, GUJARAT,365601</v>
      </c>
      <c r="L91" t="s">
        <v>1179</v>
      </c>
      <c r="M91" t="s">
        <v>1180</v>
      </c>
      <c r="N91" t="s">
        <v>1181</v>
      </c>
      <c r="O91" t="s">
        <v>132</v>
      </c>
      <c r="P91" t="s">
        <v>1182</v>
      </c>
      <c r="Q91" t="s">
        <v>1183</v>
      </c>
      <c r="R91" t="s">
        <v>1184</v>
      </c>
      <c r="S91" t="s">
        <v>1185</v>
      </c>
      <c r="T91" t="s">
        <v>1186</v>
      </c>
      <c r="U91" t="str">
        <f t="shared" si="129"/>
        <v xml:space="preserve">SHILPA SHARMA  </v>
      </c>
      <c r="V91" t="str">
        <f t="shared" si="130"/>
        <v>shilpa.sharma@corporate.in</v>
      </c>
      <c r="W91" t="str">
        <f t="shared" si="139"/>
        <v>Amreli</v>
      </c>
      <c r="X91" t="str">
        <f t="shared" si="131"/>
        <v>shilpa SHARMA</v>
      </c>
      <c r="Y91" t="str">
        <f t="shared" si="140"/>
        <v>CORPORATE</v>
      </c>
      <c r="Z91" t="str">
        <f t="shared" si="141"/>
        <v xml:space="preserve">  monopod world pro  </v>
      </c>
      <c r="AA91" t="str">
        <f t="shared" si="142"/>
        <v>Sports Photographer</v>
      </c>
      <c r="AB91" t="str">
        <f t="shared" si="132"/>
        <v>741 Gandhidham</v>
      </c>
      <c r="AC91" t="str">
        <f t="shared" si="143"/>
        <v>DEPT-SPORTS-090</v>
      </c>
      <c r="AD91" t="str">
        <f t="shared" si="144"/>
        <v>Sirui Carbon Fiber Monopod</v>
      </c>
      <c r="AE91" t="str">
        <f t="shared" si="145"/>
        <v>https://monopods.in</v>
      </c>
      <c r="AF91" t="str">
        <f t="shared" si="146"/>
        <v>5 section legs preferred</v>
      </c>
      <c r="AG91" t="str">
        <f t="shared" si="133"/>
        <v>CUST090</v>
      </c>
      <c r="AH91" t="str">
        <f t="shared" si="147"/>
        <v>PRD-MONO-090</v>
      </c>
      <c r="AI91" t="str">
        <f t="shared" si="134"/>
        <v xml:space="preserve">Shilpa Sharma  </v>
      </c>
      <c r="AJ91" t="str">
        <f t="shared" si="135"/>
        <v>+91-9988678901</v>
      </c>
      <c r="AK91" t="str">
        <f t="shared" si="148"/>
        <v>corporate</v>
      </c>
      <c r="AL91" t="str">
        <f t="shared" si="149"/>
        <v>Monopod World Pro</v>
      </c>
      <c r="AM91" t="str">
        <f t="shared" si="136"/>
        <v>shilpa.sharma@corporate.in</v>
      </c>
      <c r="AN91" t="str">
        <f t="shared" si="150"/>
        <v>SPORTS PHOTOGRAPHER</v>
      </c>
      <c r="AO91" t="str">
        <f t="shared" si="137"/>
        <v xml:space="preserve">Cust090-shilpa SHARMA  </v>
      </c>
      <c r="AP91" t="str">
        <f t="shared" si="151"/>
        <v>shilpa SHARMA</v>
      </c>
      <c r="AQ91" t="str">
        <f t="shared" si="152"/>
        <v>Amreli, GUJARAT</v>
      </c>
      <c r="AR91" t="str">
        <f t="shared" si="153"/>
        <v>prd-mono-090:SIRUI carbon FIBER monopod</v>
      </c>
      <c r="AS91" t="str">
        <f t="shared" si="154"/>
        <v>SHILPA.SHARMA@CORPORATE.IN|+91-9988678901</v>
      </c>
      <c r="AT91" t="str">
        <f t="shared" si="155"/>
        <v xml:space="preserve">  MONOPOD world PRO  -SPORTS PHOTOGRAPHER</v>
      </c>
      <c r="AU91" t="str">
        <f t="shared" si="156"/>
        <v>Corporate 05-Oct-2025</v>
      </c>
      <c r="AV91" t="str">
        <f t="shared" si="157"/>
        <v>741 Gandhidham,Amreli, GUJARAT,365601</v>
      </c>
      <c r="AW91" t="str">
        <f t="shared" si="158"/>
        <v>dept-sports-090_SPORTS PHOTOGRAPHER</v>
      </c>
      <c r="AX91" t="str">
        <f t="shared" si="159"/>
        <v>Customer ID:Cust090</v>
      </c>
      <c r="AY91" t="str">
        <f t="shared" si="160"/>
        <v>Email:SHILPA.SHARMA@CORPORATE.IN</v>
      </c>
      <c r="AZ91" t="str">
        <f t="shared" si="161"/>
        <v>https://monopods.in/contact</v>
      </c>
      <c r="BA91" t="str">
        <f t="shared" si="162"/>
        <v>Order Placed On 05-Oct-2025</v>
      </c>
      <c r="BB91" t="str">
        <f t="shared" si="163"/>
        <v>shilpa SHARMA  (Corporate)</v>
      </c>
      <c r="BC91" t="str">
        <f t="shared" si="164"/>
        <v>prd-mono-090/SIRUI carbon FIBER monopod</v>
      </c>
      <c r="BD91" t="str">
        <f t="shared" si="165"/>
        <v>call +91-9988678901</v>
      </c>
      <c r="BE91" t="str">
        <f t="shared" si="166"/>
        <v xml:space="preserve">  MONOPOD world PRO  -dept-sports-090</v>
      </c>
      <c r="BF91" t="str">
        <f t="shared" si="167"/>
        <v>Cust090-90</v>
      </c>
      <c r="BG91" t="str">
        <f t="shared" si="168"/>
        <v>Customer: shilpa SHARMA  ,Type: Corporate</v>
      </c>
      <c r="BH91" t="str">
        <f t="shared" si="169"/>
        <v>Amreli,india</v>
      </c>
      <c r="BI91" t="str">
        <f t="shared" si="170"/>
        <v>Cust</v>
      </c>
      <c r="BJ91" t="str">
        <f t="shared" si="171"/>
        <v>SHILPA.SHA</v>
      </c>
      <c r="BK91" t="str">
        <f t="shared" si="172"/>
        <v xml:space="preserve">shilpa </v>
      </c>
      <c r="BL91" t="str">
        <f t="shared" si="173"/>
        <v>prd-m</v>
      </c>
      <c r="BM91" t="str">
        <f t="shared" si="174"/>
        <v>Cor</v>
      </c>
      <c r="BN91" t="str">
        <f t="shared" si="175"/>
        <v>+91-9988</v>
      </c>
      <c r="BO91" t="str">
        <f t="shared" si="176"/>
        <v>CORPORATE.IN</v>
      </c>
      <c r="BP91" t="str">
        <f t="shared" si="177"/>
        <v>Amreli</v>
      </c>
      <c r="BQ91" t="str">
        <f t="shared" si="178"/>
        <v>t090</v>
      </c>
      <c r="BR91" t="str">
        <f t="shared" si="179"/>
        <v>SHARMA</v>
      </c>
      <c r="BS91" t="str">
        <f t="shared" si="180"/>
        <v>no-090</v>
      </c>
      <c r="BU91" t="str">
        <f t="shared" si="181"/>
        <v>78901</v>
      </c>
      <c r="BV91" t="str">
        <f t="shared" si="182"/>
        <v>365601</v>
      </c>
      <c r="BW91" t="str">
        <f t="shared" si="183"/>
        <v xml:space="preserve"> GUJARAT</v>
      </c>
      <c r="BX91" t="str">
        <f t="shared" si="184"/>
        <v>090</v>
      </c>
      <c r="BY91" t="str">
        <f t="shared" si="185"/>
        <v>sports</v>
      </c>
      <c r="BZ91" t="str">
        <f t="shared" si="186"/>
        <v>mono</v>
      </c>
      <c r="CA91" t="str">
        <f t="shared" si="187"/>
        <v>Oct</v>
      </c>
      <c r="CB91" t="str">
        <f t="shared" si="188"/>
        <v>MONOP</v>
      </c>
      <c r="CC91">
        <f t="shared" si="189"/>
        <v>14</v>
      </c>
      <c r="CD91">
        <f t="shared" si="190"/>
        <v>15</v>
      </c>
      <c r="CE91">
        <f t="shared" si="191"/>
        <v>26</v>
      </c>
      <c r="CF91">
        <f t="shared" si="192"/>
        <v>7</v>
      </c>
      <c r="CG91">
        <f t="shared" si="193"/>
        <v>26</v>
      </c>
      <c r="CH91">
        <f t="shared" si="194"/>
        <v>7</v>
      </c>
      <c r="CI91">
        <f t="shared" si="195"/>
        <v>7</v>
      </c>
      <c r="CJ91" t="str">
        <f t="shared" si="196"/>
        <v>Not found</v>
      </c>
      <c r="CK91">
        <f t="shared" si="197"/>
        <v>14</v>
      </c>
      <c r="CL91">
        <f t="shared" si="198"/>
        <v>4</v>
      </c>
      <c r="CM91">
        <f t="shared" si="199"/>
        <v>14</v>
      </c>
      <c r="CN91">
        <f t="shared" si="200"/>
        <v>7</v>
      </c>
      <c r="CO91">
        <f t="shared" si="201"/>
        <v>17</v>
      </c>
      <c r="CP91">
        <f t="shared" si="202"/>
        <v>9</v>
      </c>
      <c r="CQ91">
        <f t="shared" si="203"/>
        <v>15</v>
      </c>
      <c r="CR91">
        <f t="shared" si="204"/>
        <v>7</v>
      </c>
      <c r="CS91">
        <f t="shared" si="205"/>
        <v>9</v>
      </c>
      <c r="CT91">
        <f t="shared" si="206"/>
        <v>9</v>
      </c>
      <c r="CU91">
        <f t="shared" si="207"/>
        <v>24</v>
      </c>
      <c r="CV91">
        <f t="shared" si="208"/>
        <v>3</v>
      </c>
      <c r="CW91" t="str">
        <f t="shared" si="209"/>
        <v>Customer ID090</v>
      </c>
      <c r="CX91" t="str">
        <f t="shared" si="210"/>
        <v>SHILPA.SHARMA[AT]CORPORATE.IN</v>
      </c>
      <c r="CY91" t="str">
        <f t="shared" si="211"/>
        <v>Product-MONO-090</v>
      </c>
      <c r="CZ91" t="str">
        <f t="shared" si="212"/>
        <v>prd_mono_090</v>
      </c>
      <c r="DA91" t="str">
        <f t="shared" si="213"/>
        <v>DEPARTMENT-SPORTS-090</v>
      </c>
      <c r="DB91" t="str">
        <f t="shared" si="214"/>
        <v>SHILPA.SHARMA@CORPORATE.IN</v>
      </c>
      <c r="DC91" t="str">
        <f t="shared" si="215"/>
        <v>HTTPS://MONOPODS.IN</v>
      </c>
      <c r="DD91" t="str">
        <f t="shared" si="216"/>
        <v>shilpa/SHARMA//</v>
      </c>
      <c r="DE91" t="str">
        <f t="shared" si="217"/>
        <v>Corporate</v>
      </c>
      <c r="DF91" t="str">
        <f t="shared" si="218"/>
        <v>Amreli; GUJARAT;365601</v>
      </c>
      <c r="DG91" t="str">
        <f t="shared" si="219"/>
        <v>SPORTS PHOTOGRAPHER</v>
      </c>
      <c r="DH91" t="str">
        <f t="shared" si="220"/>
        <v>+91-9988678901</v>
      </c>
      <c r="DI91" t="str">
        <f t="shared" si="221"/>
        <v xml:space="preserve">  MONOPOD world PRO  </v>
      </c>
      <c r="DJ91" t="str">
        <f t="shared" si="222"/>
        <v>https:://monopods.in</v>
      </c>
      <c r="DK91" t="str">
        <f t="shared" si="223"/>
        <v>741  Gandhidham</v>
      </c>
      <c r="DL91" t="str">
        <f t="shared" si="224"/>
        <v>SHILPA.SHARMA</v>
      </c>
      <c r="DM91" t="str">
        <f t="shared" si="225"/>
        <v>shilpa.SHARMA@  MONOPOD world PRO  .com</v>
      </c>
      <c r="DN91" t="str">
        <f t="shared" si="226"/>
        <v>shilpa</v>
      </c>
      <c r="DO91" t="str">
        <f t="shared" si="227"/>
        <v>SHARMA</v>
      </c>
      <c r="DP91" t="str">
        <f t="shared" si="228"/>
        <v>SHARMA,shilpa</v>
      </c>
      <c r="DQ91" t="str">
        <f t="shared" si="229"/>
        <v>Name has13characters</v>
      </c>
      <c r="DR91" t="str">
        <f t="shared" si="230"/>
        <v>Check Domain</v>
      </c>
      <c r="DS91" t="str">
        <f t="shared" si="231"/>
        <v>+91-</v>
      </c>
      <c r="DT91" t="str">
        <f t="shared" si="232"/>
        <v>Cus090</v>
      </c>
      <c r="DU91" t="str">
        <f t="shared" si="233"/>
        <v>ssharma</v>
      </c>
      <c r="DV91" t="str">
        <f t="shared" si="234"/>
        <v>prd090</v>
      </c>
      <c r="DW91" t="str">
        <f t="shared" si="235"/>
        <v>+91-9988678901</v>
      </c>
      <c r="DX91" t="str">
        <f t="shared" si="236"/>
        <v>2025</v>
      </c>
      <c r="DY91" t="str">
        <f t="shared" si="237"/>
        <v>s</v>
      </c>
      <c r="DZ91" t="str">
        <f t="shared" si="238"/>
        <v>shilpaSHARMA@  MONOPOD world PRO  .com</v>
      </c>
      <c r="EA91" t="str">
        <f t="shared" si="239"/>
        <v/>
      </c>
      <c r="EB91" t="str">
        <f t="shared" si="240"/>
        <v>CORPORATE.IN</v>
      </c>
      <c r="EC91">
        <f t="shared" si="241"/>
        <v>26</v>
      </c>
      <c r="ED91" t="str">
        <f t="shared" si="242"/>
        <v>Am90</v>
      </c>
      <c r="EE91" t="str">
        <f t="shared" si="243"/>
        <v>Amreli- GUJARAT(365601)</v>
      </c>
      <c r="EF91" t="str">
        <f t="shared" si="244"/>
        <v>919988678901</v>
      </c>
      <c r="EG91" t="str">
        <f t="shared" si="245"/>
        <v>CUST-090</v>
      </c>
      <c r="EH91" t="str">
        <f t="shared" si="246"/>
        <v>public</v>
      </c>
      <c r="EI91" t="str">
        <f t="shared" si="247"/>
        <v>PRD-090-05Oct25</v>
      </c>
      <c r="EJ91" t="str">
        <f t="shared" si="248"/>
        <v>Corporate</v>
      </c>
    </row>
    <row r="92" spans="1:140" x14ac:dyDescent="0.3">
      <c r="A92" t="s">
        <v>1187</v>
      </c>
      <c r="B92" t="s">
        <v>1563</v>
      </c>
      <c r="C92" t="s">
        <v>1531</v>
      </c>
      <c r="D92" t="s">
        <v>1188</v>
      </c>
      <c r="E92" t="s">
        <v>1189</v>
      </c>
      <c r="F92" t="s">
        <v>1190</v>
      </c>
      <c r="G92" t="s">
        <v>1191</v>
      </c>
      <c r="H92" t="s">
        <v>1698</v>
      </c>
      <c r="I92" t="s">
        <v>1629</v>
      </c>
      <c r="J92">
        <v>364710</v>
      </c>
      <c r="K92" t="str">
        <f t="shared" si="138"/>
        <v>botad, GUJARAT,364710</v>
      </c>
      <c r="L92" t="s">
        <v>1192</v>
      </c>
      <c r="M92" t="s">
        <v>1193</v>
      </c>
      <c r="N92" t="s">
        <v>1194</v>
      </c>
      <c r="O92" t="s">
        <v>78</v>
      </c>
      <c r="P92" t="s">
        <v>1195</v>
      </c>
      <c r="Q92" t="s">
        <v>1196</v>
      </c>
      <c r="R92" t="s">
        <v>1197</v>
      </c>
      <c r="S92" t="s">
        <v>1198</v>
      </c>
      <c r="T92" t="s">
        <v>1199</v>
      </c>
      <c r="U92" t="str">
        <f t="shared" si="129"/>
        <v>DEVENDRA CHAWLA</v>
      </c>
      <c r="V92" t="str">
        <f t="shared" si="130"/>
        <v>devendra.chawla@mail.in</v>
      </c>
      <c r="W92" t="str">
        <f t="shared" si="139"/>
        <v>Botad</v>
      </c>
      <c r="X92" t="str">
        <f t="shared" si="131"/>
        <v>devendra chawla</v>
      </c>
      <c r="Y92" t="str">
        <f t="shared" si="140"/>
        <v>RETAIL</v>
      </c>
      <c r="Z92" t="str">
        <f t="shared" si="141"/>
        <v>slider solutions cinema</v>
      </c>
      <c r="AA92" t="str">
        <f t="shared" si="142"/>
        <v>Videographer</v>
      </c>
      <c r="AB92" t="str">
        <f t="shared" si="132"/>
        <v>852 Station Road</v>
      </c>
      <c r="AC92" t="str">
        <f t="shared" si="143"/>
        <v>DEPT-VIDEO-091</v>
      </c>
      <c r="AD92" t="str">
        <f t="shared" si="144"/>
        <v>Neewer Camera Slider 31 Inch</v>
      </c>
      <c r="AE92" t="str">
        <f t="shared" si="145"/>
        <v>www.sliders.com</v>
      </c>
      <c r="AF92" t="str">
        <f t="shared" si="146"/>
        <v>Flywheel system included</v>
      </c>
      <c r="AG92" t="str">
        <f t="shared" si="133"/>
        <v>CUST091</v>
      </c>
      <c r="AH92" t="str">
        <f t="shared" si="147"/>
        <v>PRD-SLIDER-091</v>
      </c>
      <c r="AI92" t="str">
        <f t="shared" si="134"/>
        <v>Devendra Chawla</v>
      </c>
      <c r="AJ92" t="str">
        <f t="shared" si="135"/>
        <v>(02844) 2468-9753</v>
      </c>
      <c r="AK92" t="str">
        <f t="shared" si="148"/>
        <v>retail</v>
      </c>
      <c r="AL92" t="str">
        <f t="shared" si="149"/>
        <v>Slider Solutions Cinema</v>
      </c>
      <c r="AM92" t="str">
        <f t="shared" si="136"/>
        <v>devendra.chawla@mail.in</v>
      </c>
      <c r="AN92" t="str">
        <f t="shared" si="150"/>
        <v>VIDEOGRAPHER</v>
      </c>
      <c r="AO92" t="str">
        <f t="shared" si="137"/>
        <v>CUST091-devendra chawla</v>
      </c>
      <c r="AP92" t="str">
        <f t="shared" si="151"/>
        <v>devendra chawla</v>
      </c>
      <c r="AQ92" t="str">
        <f t="shared" si="152"/>
        <v>botad, GUJARAT</v>
      </c>
      <c r="AR92" t="str">
        <f t="shared" si="153"/>
        <v>prd-slider-091:NEEWER camera SLIDER 31 inch</v>
      </c>
      <c r="AS92" t="str">
        <f t="shared" si="154"/>
        <v>devendra.chawla@mail.in|(02844) 2468-9753</v>
      </c>
      <c r="AT92" t="str">
        <f t="shared" si="155"/>
        <v>slider SOLUTIONS cinema-Videographer</v>
      </c>
      <c r="AU92" t="str">
        <f t="shared" si="156"/>
        <v>retail 12-Oct-2025</v>
      </c>
      <c r="AV92" t="str">
        <f t="shared" si="157"/>
        <v>852 Station Road,botad, GUJARAT,364710</v>
      </c>
      <c r="AW92" t="str">
        <f t="shared" si="158"/>
        <v>dept-video-091_Videographer</v>
      </c>
      <c r="AX92" t="str">
        <f t="shared" si="159"/>
        <v>Customer ID:CUST091</v>
      </c>
      <c r="AY92" t="str">
        <f t="shared" si="160"/>
        <v>Email:devendra.chawla@mail.in</v>
      </c>
      <c r="AZ92" t="str">
        <f t="shared" si="161"/>
        <v>WWW.SLIDERS.COM/contact</v>
      </c>
      <c r="BA92" t="str">
        <f t="shared" si="162"/>
        <v>Order Placed On 12-Oct-2025</v>
      </c>
      <c r="BB92" t="str">
        <f t="shared" si="163"/>
        <v>devendra chawla(retail)</v>
      </c>
      <c r="BC92" t="str">
        <f t="shared" si="164"/>
        <v>prd-slider-091/NEEWER camera SLIDER 31 inch</v>
      </c>
      <c r="BD92" t="str">
        <f t="shared" si="165"/>
        <v>call (02844) 2468-9753</v>
      </c>
      <c r="BE92" t="str">
        <f t="shared" si="166"/>
        <v>slider SOLUTIONS cinema-dept-video-091</v>
      </c>
      <c r="BF92" t="str">
        <f t="shared" si="167"/>
        <v>CUST091-91</v>
      </c>
      <c r="BG92" t="str">
        <f t="shared" si="168"/>
        <v>Customer: devendra chawla,Type: retail</v>
      </c>
      <c r="BH92" t="str">
        <f t="shared" si="169"/>
        <v>botad,india</v>
      </c>
      <c r="BI92" t="str">
        <f t="shared" si="170"/>
        <v>CUST</v>
      </c>
      <c r="BJ92" t="str">
        <f t="shared" si="171"/>
        <v>devendra.c</v>
      </c>
      <c r="BK92" t="str">
        <f t="shared" si="172"/>
        <v xml:space="preserve">devendra </v>
      </c>
      <c r="BL92" t="str">
        <f t="shared" si="173"/>
        <v>prd-s</v>
      </c>
      <c r="BM92" t="str">
        <f t="shared" si="174"/>
        <v>ret</v>
      </c>
      <c r="BN92" t="str">
        <f t="shared" si="175"/>
        <v xml:space="preserve">(02844) </v>
      </c>
      <c r="BO92" t="str">
        <f t="shared" si="176"/>
        <v>mail.in</v>
      </c>
      <c r="BP92" t="str">
        <f t="shared" si="177"/>
        <v>botad</v>
      </c>
      <c r="BQ92" t="str">
        <f t="shared" si="178"/>
        <v>T091</v>
      </c>
      <c r="BR92" t="str">
        <f t="shared" si="179"/>
        <v>a chawla</v>
      </c>
      <c r="BS92" t="str">
        <f t="shared" si="180"/>
        <v>er-091</v>
      </c>
      <c r="BU92" t="str">
        <f t="shared" si="181"/>
        <v>-9753</v>
      </c>
      <c r="BV92" t="str">
        <f t="shared" si="182"/>
        <v>364710</v>
      </c>
      <c r="BW92" t="str">
        <f t="shared" si="183"/>
        <v xml:space="preserve"> GUJARAT</v>
      </c>
      <c r="BX92" t="str">
        <f t="shared" si="184"/>
        <v>091</v>
      </c>
      <c r="BY92" t="str">
        <f t="shared" si="185"/>
        <v>video</v>
      </c>
      <c r="BZ92" t="str">
        <f t="shared" si="186"/>
        <v>slider</v>
      </c>
      <c r="CA92" t="str">
        <f t="shared" si="187"/>
        <v>Oct</v>
      </c>
      <c r="CB92" t="str">
        <f t="shared" si="188"/>
        <v xml:space="preserve">ider </v>
      </c>
      <c r="CC92">
        <f t="shared" si="189"/>
        <v>16</v>
      </c>
      <c r="CD92">
        <f t="shared" si="190"/>
        <v>15</v>
      </c>
      <c r="CE92">
        <f t="shared" si="191"/>
        <v>23</v>
      </c>
      <c r="CF92">
        <f t="shared" si="192"/>
        <v>9</v>
      </c>
      <c r="CG92">
        <f t="shared" si="193"/>
        <v>28</v>
      </c>
      <c r="CH92">
        <f t="shared" si="194"/>
        <v>6</v>
      </c>
      <c r="CI92">
        <f t="shared" si="195"/>
        <v>7</v>
      </c>
      <c r="CJ92" t="str">
        <f t="shared" si="196"/>
        <v>Not found</v>
      </c>
      <c r="CK92">
        <f t="shared" si="197"/>
        <v>17</v>
      </c>
      <c r="CL92">
        <f t="shared" si="198"/>
        <v>4</v>
      </c>
      <c r="CM92">
        <f t="shared" si="199"/>
        <v>16</v>
      </c>
      <c r="CN92">
        <f t="shared" si="200"/>
        <v>9</v>
      </c>
      <c r="CO92">
        <f t="shared" si="201"/>
        <v>23</v>
      </c>
      <c r="CP92">
        <f t="shared" si="202"/>
        <v>11</v>
      </c>
      <c r="CQ92">
        <f t="shared" si="203"/>
        <v>14</v>
      </c>
      <c r="CR92" t="str">
        <f t="shared" si="204"/>
        <v>not found</v>
      </c>
      <c r="CS92">
        <f t="shared" si="205"/>
        <v>6</v>
      </c>
      <c r="CT92">
        <f t="shared" si="206"/>
        <v>11</v>
      </c>
      <c r="CU92">
        <f t="shared" si="207"/>
        <v>28</v>
      </c>
      <c r="CV92">
        <f t="shared" si="208"/>
        <v>3</v>
      </c>
      <c r="CW92" t="str">
        <f t="shared" si="209"/>
        <v>Customer ID091</v>
      </c>
      <c r="CX92" t="str">
        <f t="shared" si="210"/>
        <v>devendra.chawla[AT]mail.in</v>
      </c>
      <c r="CY92" t="str">
        <f t="shared" si="211"/>
        <v>Product-SLIDER-091</v>
      </c>
      <c r="CZ92" t="str">
        <f t="shared" si="212"/>
        <v>prd_slider_091</v>
      </c>
      <c r="DA92" t="str">
        <f t="shared" si="213"/>
        <v>DEPARTMENT-VIDEO-091</v>
      </c>
      <c r="DB92" t="str">
        <f t="shared" si="214"/>
        <v>DEVENDRA.CHAWLA@MAIL.IN</v>
      </c>
      <c r="DC92" t="str">
        <f t="shared" si="215"/>
        <v>https://www..SLIDERS.COM</v>
      </c>
      <c r="DD92" t="str">
        <f t="shared" si="216"/>
        <v>devendra/chawla</v>
      </c>
      <c r="DE92" t="str">
        <f t="shared" si="217"/>
        <v>RETAIL CUSTOMER</v>
      </c>
      <c r="DF92" t="str">
        <f t="shared" si="218"/>
        <v>botad; GUJARAT;364710</v>
      </c>
      <c r="DG92" t="str">
        <f t="shared" si="219"/>
        <v>Videographer</v>
      </c>
      <c r="DH92" t="str">
        <f t="shared" si="220"/>
        <v xml:space="preserve"> 02844  2468-9753</v>
      </c>
      <c r="DI92" t="str">
        <f t="shared" si="221"/>
        <v>slider SOLUTIONS cinema</v>
      </c>
      <c r="DJ92" t="str">
        <f t="shared" si="222"/>
        <v>WWW.SLIDERS.COM</v>
      </c>
      <c r="DK92" t="str">
        <f t="shared" si="223"/>
        <v>852  Station  Road</v>
      </c>
      <c r="DL92" t="str">
        <f t="shared" si="224"/>
        <v>devendra.chawla</v>
      </c>
      <c r="DM92" t="str">
        <f t="shared" si="225"/>
        <v>devendra.chawla@slider SOLUTIONS cinema.com</v>
      </c>
      <c r="DN92" t="str">
        <f t="shared" si="226"/>
        <v>devendra</v>
      </c>
      <c r="DO92" t="str">
        <f t="shared" si="227"/>
        <v>chawla</v>
      </c>
      <c r="DP92" t="str">
        <f t="shared" si="228"/>
        <v>chawla,devendra</v>
      </c>
      <c r="DQ92" t="str">
        <f t="shared" si="229"/>
        <v>Name has15characters</v>
      </c>
      <c r="DR92" t="str">
        <f t="shared" si="230"/>
        <v>Check Domain</v>
      </c>
      <c r="DS92" t="str">
        <f t="shared" si="231"/>
        <v>(028</v>
      </c>
      <c r="DT92" t="str">
        <f t="shared" si="232"/>
        <v>CUS091</v>
      </c>
      <c r="DU92" t="str">
        <f t="shared" si="233"/>
        <v>dchawla</v>
      </c>
      <c r="DV92" t="str">
        <f t="shared" si="234"/>
        <v>prd091</v>
      </c>
      <c r="DW92" t="str">
        <f t="shared" si="235"/>
        <v>(02844) 2468-9753</v>
      </c>
      <c r="DX92" t="str">
        <f t="shared" si="236"/>
        <v>2025</v>
      </c>
      <c r="DY92" t="str">
        <f t="shared" si="237"/>
        <v>d</v>
      </c>
      <c r="DZ92" t="str">
        <f t="shared" si="238"/>
        <v>devendrachawla@slider SOLUTIONS cinema.com</v>
      </c>
      <c r="EA92" t="str">
        <f t="shared" si="239"/>
        <v>Retail</v>
      </c>
      <c r="EB92" t="str">
        <f t="shared" si="240"/>
        <v>mail.in</v>
      </c>
      <c r="EC92">
        <f t="shared" si="241"/>
        <v>28</v>
      </c>
      <c r="ED92" t="str">
        <f t="shared" si="242"/>
        <v>bo91</v>
      </c>
      <c r="EE92" t="str">
        <f t="shared" si="243"/>
        <v>botad- GUJARAT(364710)</v>
      </c>
      <c r="EF92" t="str">
        <f t="shared" si="244"/>
        <v>0284424689753</v>
      </c>
      <c r="EG92" t="str">
        <f t="shared" si="245"/>
        <v>CUST-091</v>
      </c>
      <c r="EH92" t="str">
        <f t="shared" si="246"/>
        <v>public</v>
      </c>
      <c r="EI92" t="str">
        <f t="shared" si="247"/>
        <v>PRD-091-12Oct25</v>
      </c>
      <c r="EJ92" t="str">
        <f t="shared" si="248"/>
        <v>Retail</v>
      </c>
    </row>
    <row r="93" spans="1:140" x14ac:dyDescent="0.3">
      <c r="A93" t="s">
        <v>1200</v>
      </c>
      <c r="B93" t="s">
        <v>1564</v>
      </c>
      <c r="C93" t="s">
        <v>1533</v>
      </c>
      <c r="D93" t="s">
        <v>1201</v>
      </c>
      <c r="E93" t="s">
        <v>1202</v>
      </c>
      <c r="F93" t="s">
        <v>1203</v>
      </c>
      <c r="G93" t="s">
        <v>1204</v>
      </c>
      <c r="H93" t="s">
        <v>1699</v>
      </c>
      <c r="I93" t="s">
        <v>1594</v>
      </c>
      <c r="J93">
        <v>384265</v>
      </c>
      <c r="K93" t="str">
        <f t="shared" si="138"/>
        <v>PATAN, Gujarat,384265</v>
      </c>
      <c r="L93" t="s">
        <v>1205</v>
      </c>
      <c r="M93" t="s">
        <v>1206</v>
      </c>
      <c r="N93" t="s">
        <v>1207</v>
      </c>
      <c r="O93" t="s">
        <v>36</v>
      </c>
      <c r="P93" t="s">
        <v>1208</v>
      </c>
      <c r="Q93" t="s">
        <v>1209</v>
      </c>
      <c r="R93" t="s">
        <v>1210</v>
      </c>
      <c r="S93" t="s">
        <v>1211</v>
      </c>
      <c r="T93" t="s">
        <v>1212</v>
      </c>
      <c r="U93" t="str">
        <f t="shared" si="129"/>
        <v xml:space="preserve">  NAINA PANDEY</v>
      </c>
      <c r="V93" t="str">
        <f t="shared" si="130"/>
        <v>naina_pandey@email.in</v>
      </c>
      <c r="W93" t="str">
        <f t="shared" si="139"/>
        <v>Patan</v>
      </c>
      <c r="X93" t="str">
        <f t="shared" si="131"/>
        <v>NAINA pandey</v>
      </c>
      <c r="Y93" t="str">
        <f t="shared" si="140"/>
        <v>WHOLESALE</v>
      </c>
      <c r="Z93" t="str">
        <f t="shared" si="141"/>
        <v>stabilizer store india</v>
      </c>
      <c r="AA93" t="str">
        <f t="shared" si="142"/>
        <v>Gimbal Operator</v>
      </c>
      <c r="AB93" t="str">
        <f t="shared" si="132"/>
        <v>963 Main Bazar</v>
      </c>
      <c r="AC93" t="str">
        <f t="shared" si="143"/>
        <v>DEPT-GIMBAL-092</v>
      </c>
      <c r="AD93" t="str">
        <f t="shared" si="144"/>
        <v>Dji Ronin Stabilizer Sc</v>
      </c>
      <c r="AE93" t="str">
        <f t="shared" si="145"/>
        <v>www.stabilizers.in</v>
      </c>
      <c r="AF93" t="str">
        <f t="shared" si="146"/>
        <v>3-axis gimbal needed</v>
      </c>
      <c r="AG93" t="str">
        <f t="shared" si="133"/>
        <v>CUST092</v>
      </c>
      <c r="AH93" t="str">
        <f t="shared" si="147"/>
        <v>PRD-STAB-092</v>
      </c>
      <c r="AI93" t="str">
        <f t="shared" si="134"/>
        <v xml:space="preserve">  Naina Pandey</v>
      </c>
      <c r="AJ93" t="str">
        <f t="shared" si="135"/>
        <v>02766-34567</v>
      </c>
      <c r="AK93" t="str">
        <f t="shared" si="148"/>
        <v>wholesale</v>
      </c>
      <c r="AL93" t="str">
        <f t="shared" si="149"/>
        <v>Stabilizer Store India</v>
      </c>
      <c r="AM93" t="str">
        <f t="shared" si="136"/>
        <v>naina_pandey@email.in</v>
      </c>
      <c r="AN93" t="str">
        <f t="shared" si="150"/>
        <v>GIMBAL OPERATOR</v>
      </c>
      <c r="AO93" t="str">
        <f t="shared" si="137"/>
        <v>cust092-  NAINA pandey</v>
      </c>
      <c r="AP93" t="str">
        <f t="shared" si="151"/>
        <v>NAINA pandey</v>
      </c>
      <c r="AQ93" t="str">
        <f t="shared" si="152"/>
        <v>PATAN, Gujarat</v>
      </c>
      <c r="AR93" t="str">
        <f t="shared" si="153"/>
        <v>PRD-STAB-092:DJI ronin STABILIZER sc</v>
      </c>
      <c r="AS93" t="str">
        <f t="shared" si="154"/>
        <v>naina_pandey@email.in|02766-34567</v>
      </c>
      <c r="AT93" t="str">
        <f t="shared" si="155"/>
        <v>STABILIZER store INDIA-Gimbal Operator</v>
      </c>
      <c r="AU93" t="str">
        <f t="shared" si="156"/>
        <v>wholesale 19-Oct-2025</v>
      </c>
      <c r="AV93" t="str">
        <f t="shared" si="157"/>
        <v xml:space="preserve">  963 Main Bazar  ,PATAN, Gujarat,384265</v>
      </c>
      <c r="AW93" t="str">
        <f t="shared" si="158"/>
        <v>DEPT-GIMBAL-092_Gimbal Operator</v>
      </c>
      <c r="AX93" t="str">
        <f t="shared" si="159"/>
        <v>Customer ID:cust092</v>
      </c>
      <c r="AY93" t="str">
        <f t="shared" si="160"/>
        <v>Email:naina_pandey@email.in</v>
      </c>
      <c r="AZ93" t="str">
        <f t="shared" si="161"/>
        <v>www.stabilizers.in/contact</v>
      </c>
      <c r="BA93" t="str">
        <f t="shared" si="162"/>
        <v>Order Placed On 19-Oct-2025</v>
      </c>
      <c r="BB93" t="str">
        <f t="shared" si="163"/>
        <v xml:space="preserve">  NAINA pandey(wholesale)</v>
      </c>
      <c r="BC93" t="str">
        <f t="shared" si="164"/>
        <v>PRD-STAB-092/DJI ronin STABILIZER sc</v>
      </c>
      <c r="BD93" t="str">
        <f t="shared" si="165"/>
        <v>call 02766-34567</v>
      </c>
      <c r="BE93" t="str">
        <f t="shared" si="166"/>
        <v>STABILIZER store INDIA-DEPT-GIMBAL-092</v>
      </c>
      <c r="BF93" t="str">
        <f t="shared" si="167"/>
        <v>cust092-92</v>
      </c>
      <c r="BG93" t="str">
        <f t="shared" si="168"/>
        <v>Customer:   NAINA pandey,Type: wholesale</v>
      </c>
      <c r="BH93" t="str">
        <f t="shared" si="169"/>
        <v>PATAN,india</v>
      </c>
      <c r="BI93" t="str">
        <f t="shared" si="170"/>
        <v>cust</v>
      </c>
      <c r="BJ93" t="str">
        <f t="shared" si="171"/>
        <v>naina_pand</v>
      </c>
      <c r="BK93" t="str">
        <f t="shared" si="172"/>
        <v xml:space="preserve">NAINA </v>
      </c>
      <c r="BL93" t="str">
        <f t="shared" si="173"/>
        <v>PRD-S</v>
      </c>
      <c r="BM93" t="str">
        <f t="shared" si="174"/>
        <v>who</v>
      </c>
      <c r="BN93" t="str">
        <f t="shared" si="175"/>
        <v>02766-34</v>
      </c>
      <c r="BO93" t="str">
        <f t="shared" si="176"/>
        <v>email.in</v>
      </c>
      <c r="BP93" t="str">
        <f t="shared" si="177"/>
        <v>PATAN</v>
      </c>
      <c r="BQ93" t="str">
        <f t="shared" si="178"/>
        <v>t092</v>
      </c>
      <c r="BR93" t="str">
        <f t="shared" si="179"/>
        <v>andey</v>
      </c>
      <c r="BS93" t="str">
        <f t="shared" si="180"/>
        <v>AB-092</v>
      </c>
      <c r="BU93" t="str">
        <f t="shared" si="181"/>
        <v>34567</v>
      </c>
      <c r="BV93" t="str">
        <f t="shared" si="182"/>
        <v>384265</v>
      </c>
      <c r="BW93" t="str">
        <f t="shared" si="183"/>
        <v xml:space="preserve"> Gujarat</v>
      </c>
      <c r="BX93" t="str">
        <f t="shared" si="184"/>
        <v>092</v>
      </c>
      <c r="BY93" t="str">
        <f t="shared" si="185"/>
        <v>GIMBAL</v>
      </c>
      <c r="BZ93" t="str">
        <f t="shared" si="186"/>
        <v>STAB</v>
      </c>
      <c r="CA93" t="str">
        <f t="shared" si="187"/>
        <v>Oct</v>
      </c>
      <c r="CB93" t="str">
        <f t="shared" si="188"/>
        <v>ABILI</v>
      </c>
      <c r="CC93">
        <f t="shared" si="189"/>
        <v>13</v>
      </c>
      <c r="CD93">
        <f t="shared" si="190"/>
        <v>14</v>
      </c>
      <c r="CE93">
        <f t="shared" si="191"/>
        <v>21</v>
      </c>
      <c r="CF93">
        <f t="shared" si="192"/>
        <v>1</v>
      </c>
      <c r="CG93">
        <f t="shared" si="193"/>
        <v>23</v>
      </c>
      <c r="CH93">
        <f t="shared" si="194"/>
        <v>6</v>
      </c>
      <c r="CI93">
        <f t="shared" si="195"/>
        <v>7</v>
      </c>
      <c r="CJ93">
        <f t="shared" si="196"/>
        <v>1</v>
      </c>
      <c r="CK93">
        <f t="shared" si="197"/>
        <v>11</v>
      </c>
      <c r="CL93">
        <f t="shared" si="198"/>
        <v>4</v>
      </c>
      <c r="CM93">
        <f t="shared" si="199"/>
        <v>18</v>
      </c>
      <c r="CN93">
        <f t="shared" si="200"/>
        <v>19</v>
      </c>
      <c r="CO93">
        <f t="shared" si="201"/>
        <v>22</v>
      </c>
      <c r="CP93">
        <f t="shared" si="202"/>
        <v>9</v>
      </c>
      <c r="CQ93">
        <f t="shared" si="203"/>
        <v>15</v>
      </c>
      <c r="CR93" t="str">
        <f t="shared" si="204"/>
        <v>not found</v>
      </c>
      <c r="CS93">
        <f t="shared" si="205"/>
        <v>9</v>
      </c>
      <c r="CT93">
        <f t="shared" si="206"/>
        <v>9</v>
      </c>
      <c r="CU93">
        <f t="shared" si="207"/>
        <v>20</v>
      </c>
      <c r="CV93">
        <f t="shared" si="208"/>
        <v>3</v>
      </c>
      <c r="CW93" t="str">
        <f t="shared" si="209"/>
        <v>Customer ID092</v>
      </c>
      <c r="CX93" t="str">
        <f t="shared" si="210"/>
        <v>naina_pandey[AT]email.in</v>
      </c>
      <c r="CY93" t="str">
        <f t="shared" si="211"/>
        <v>Product-STAB-092</v>
      </c>
      <c r="CZ93" t="str">
        <f t="shared" si="212"/>
        <v>PRD_STAB_092</v>
      </c>
      <c r="DA93" t="str">
        <f t="shared" si="213"/>
        <v>DEPARTMENT-GIMBAL-092</v>
      </c>
      <c r="DB93" t="str">
        <f t="shared" si="214"/>
        <v>NAINA_PANDEY@EMAIL.IN</v>
      </c>
      <c r="DC93" t="str">
        <f t="shared" si="215"/>
        <v>https://www..STABILIZERS.IN</v>
      </c>
      <c r="DD93" t="str">
        <f t="shared" si="216"/>
        <v>//NAINA/pandey</v>
      </c>
      <c r="DE93" t="str">
        <f t="shared" si="217"/>
        <v>wholesale</v>
      </c>
      <c r="DF93" t="str">
        <f t="shared" si="218"/>
        <v>PATAN; Gujarat;384265</v>
      </c>
      <c r="DG93" t="str">
        <f t="shared" si="219"/>
        <v>Gimbal Operator</v>
      </c>
      <c r="DH93" t="str">
        <f t="shared" si="220"/>
        <v>02766-34567</v>
      </c>
      <c r="DI93" t="str">
        <f t="shared" si="221"/>
        <v>STABILIZER store INDIA</v>
      </c>
      <c r="DJ93" t="str">
        <f t="shared" si="222"/>
        <v>www.stabilizers.in</v>
      </c>
      <c r="DK93" t="str">
        <f t="shared" si="223"/>
        <v xml:space="preserve">    963  Main  Bazar    </v>
      </c>
      <c r="DL93" t="str">
        <f t="shared" si="224"/>
        <v>naina_pandey</v>
      </c>
      <c r="DM93" t="str">
        <f t="shared" si="225"/>
        <v>NAINA.pandey@STABILIZER store INDIA.com</v>
      </c>
      <c r="DN93" t="str">
        <f t="shared" si="226"/>
        <v>NAINA</v>
      </c>
      <c r="DO93" t="str">
        <f t="shared" si="227"/>
        <v>pandey</v>
      </c>
      <c r="DP93" t="str">
        <f t="shared" si="228"/>
        <v>pandey,NAINA</v>
      </c>
      <c r="DQ93" t="str">
        <f t="shared" si="229"/>
        <v>Name has12characters</v>
      </c>
      <c r="DR93" t="str">
        <f t="shared" si="230"/>
        <v>Check Domain</v>
      </c>
      <c r="DS93" t="str">
        <f t="shared" si="231"/>
        <v>0276</v>
      </c>
      <c r="DT93" t="str">
        <f t="shared" si="232"/>
        <v>cus092</v>
      </c>
      <c r="DU93" t="str">
        <f t="shared" si="233"/>
        <v>Npandey</v>
      </c>
      <c r="DV93" t="str">
        <f t="shared" si="234"/>
        <v>PRD092</v>
      </c>
      <c r="DW93" t="str">
        <f t="shared" si="235"/>
        <v>02766-34567</v>
      </c>
      <c r="DX93" t="str">
        <f t="shared" si="236"/>
        <v>2025</v>
      </c>
      <c r="DY93" t="str">
        <f t="shared" si="237"/>
        <v>N</v>
      </c>
      <c r="DZ93" t="str">
        <f t="shared" si="238"/>
        <v>NAINApandey@STABILIZER store INDIA.com</v>
      </c>
      <c r="EA93" t="str">
        <f t="shared" si="239"/>
        <v>Wholesale</v>
      </c>
      <c r="EB93" t="str">
        <f t="shared" si="240"/>
        <v>email.in</v>
      </c>
      <c r="EC93">
        <f t="shared" si="241"/>
        <v>23</v>
      </c>
      <c r="ED93" t="str">
        <f t="shared" si="242"/>
        <v>PA92</v>
      </c>
      <c r="EE93" t="str">
        <f t="shared" si="243"/>
        <v>PATAN- Gujarat(384265)</v>
      </c>
      <c r="EF93" t="str">
        <f t="shared" si="244"/>
        <v>0276634567</v>
      </c>
      <c r="EG93" t="str">
        <f t="shared" si="245"/>
        <v>CUST-092</v>
      </c>
      <c r="EH93" t="str">
        <f t="shared" si="246"/>
        <v>public</v>
      </c>
      <c r="EI93" t="str">
        <f t="shared" si="247"/>
        <v>PRD-092-19Oct25</v>
      </c>
      <c r="EJ93" t="str">
        <f t="shared" si="248"/>
        <v>Wholesale</v>
      </c>
    </row>
    <row r="94" spans="1:140" x14ac:dyDescent="0.3">
      <c r="A94" t="s">
        <v>1213</v>
      </c>
      <c r="B94" t="s">
        <v>1565</v>
      </c>
      <c r="C94" t="s">
        <v>1535</v>
      </c>
      <c r="D94" t="s">
        <v>1214</v>
      </c>
      <c r="E94" t="s">
        <v>1215</v>
      </c>
      <c r="F94" t="s">
        <v>1216</v>
      </c>
      <c r="G94" t="s">
        <v>1217</v>
      </c>
      <c r="H94" t="s">
        <v>1700</v>
      </c>
      <c r="I94" t="s">
        <v>1629</v>
      </c>
      <c r="J94">
        <v>383315</v>
      </c>
      <c r="K94" t="str">
        <f t="shared" si="138"/>
        <v>Modasa, GUJARAT,383315</v>
      </c>
      <c r="L94" t="s">
        <v>1218</v>
      </c>
      <c r="M94" t="s">
        <v>1219</v>
      </c>
      <c r="N94" t="s">
        <v>1220</v>
      </c>
      <c r="O94" t="s">
        <v>132</v>
      </c>
      <c r="P94" t="s">
        <v>1221</v>
      </c>
      <c r="Q94" t="s">
        <v>1222</v>
      </c>
      <c r="R94" t="s">
        <v>1223</v>
      </c>
      <c r="S94" t="s">
        <v>1224</v>
      </c>
      <c r="T94" t="s">
        <v>1225</v>
      </c>
      <c r="U94" t="str">
        <f t="shared" si="129"/>
        <v xml:space="preserve">MAHESH YADAV  </v>
      </c>
      <c r="V94" t="str">
        <f t="shared" si="130"/>
        <v>mahesh.yadav@company.in</v>
      </c>
      <c r="W94" t="str">
        <f t="shared" si="139"/>
        <v>Modasa</v>
      </c>
      <c r="X94" t="str">
        <f t="shared" si="131"/>
        <v>mahesh YADAV</v>
      </c>
      <c r="Y94" t="str">
        <f t="shared" si="140"/>
        <v>CORPORATE</v>
      </c>
      <c r="Z94" t="str">
        <f t="shared" si="141"/>
        <v xml:space="preserve">  focus systems pro  </v>
      </c>
      <c r="AA94" t="str">
        <f t="shared" si="142"/>
        <v>Focus Puller</v>
      </c>
      <c r="AB94" t="str">
        <f t="shared" si="132"/>
        <v>159 Highway</v>
      </c>
      <c r="AC94" t="str">
        <f t="shared" si="143"/>
        <v>DEPT-FOCUS-093</v>
      </c>
      <c r="AD94" t="str">
        <f t="shared" si="144"/>
        <v>Tilta Follow Focus System</v>
      </c>
      <c r="AE94" t="str">
        <f t="shared" si="145"/>
        <v>https://focus.in</v>
      </c>
      <c r="AF94" t="str">
        <f t="shared" si="146"/>
        <v>Wireless option preferred</v>
      </c>
      <c r="AG94" t="str">
        <f t="shared" si="133"/>
        <v>CUST093</v>
      </c>
      <c r="AH94" t="str">
        <f t="shared" si="147"/>
        <v>PRD-FOLLOW-093</v>
      </c>
      <c r="AI94" t="str">
        <f t="shared" si="134"/>
        <v xml:space="preserve">Mahesh Yadav  </v>
      </c>
      <c r="AJ94" t="str">
        <f t="shared" si="135"/>
        <v>+91-9876789012</v>
      </c>
      <c r="AK94" t="str">
        <f t="shared" si="148"/>
        <v>corporate</v>
      </c>
      <c r="AL94" t="str">
        <f t="shared" si="149"/>
        <v>Focus Systems Pro</v>
      </c>
      <c r="AM94" t="str">
        <f t="shared" si="136"/>
        <v>mahesh.yadav@company.in</v>
      </c>
      <c r="AN94" t="str">
        <f t="shared" si="150"/>
        <v>FOCUS PULLER</v>
      </c>
      <c r="AO94" t="str">
        <f t="shared" si="137"/>
        <v xml:space="preserve">Cust093-mahesh YADAV  </v>
      </c>
      <c r="AP94" t="str">
        <f t="shared" si="151"/>
        <v>mahesh YADAV</v>
      </c>
      <c r="AQ94" t="str">
        <f t="shared" si="152"/>
        <v>Modasa, GUJARAT</v>
      </c>
      <c r="AR94" t="str">
        <f t="shared" si="153"/>
        <v>prd-follow-093:TILTA follow FOCUS system</v>
      </c>
      <c r="AS94" t="str">
        <f t="shared" si="154"/>
        <v>MAHESH.YADAV@COMPANY.IN|+91-9876789012</v>
      </c>
      <c r="AT94" t="str">
        <f t="shared" si="155"/>
        <v xml:space="preserve">  FOCUS systems PRO  -FOCUS PULLER</v>
      </c>
      <c r="AU94" t="str">
        <f t="shared" si="156"/>
        <v>Corporate 26-Oct-2025</v>
      </c>
      <c r="AV94" t="str">
        <f t="shared" si="157"/>
        <v>159 Highway,Modasa, GUJARAT,383315</v>
      </c>
      <c r="AW94" t="str">
        <f t="shared" si="158"/>
        <v>dept-focus-093_FOCUS PULLER</v>
      </c>
      <c r="AX94" t="str">
        <f t="shared" si="159"/>
        <v>Customer ID:Cust093</v>
      </c>
      <c r="AY94" t="str">
        <f t="shared" si="160"/>
        <v>Email:MAHESH.YADAV@COMPANY.IN</v>
      </c>
      <c r="AZ94" t="str">
        <f t="shared" si="161"/>
        <v>https://focus.in/contact</v>
      </c>
      <c r="BA94" t="str">
        <f t="shared" si="162"/>
        <v>Order Placed On 26-Oct-2025</v>
      </c>
      <c r="BB94" t="str">
        <f t="shared" si="163"/>
        <v>mahesh YADAV  (Corporate)</v>
      </c>
      <c r="BC94" t="str">
        <f t="shared" si="164"/>
        <v>prd-follow-093/TILTA follow FOCUS system</v>
      </c>
      <c r="BD94" t="str">
        <f t="shared" si="165"/>
        <v>call +91-9876789012</v>
      </c>
      <c r="BE94" t="str">
        <f t="shared" si="166"/>
        <v xml:space="preserve">  FOCUS systems PRO  -dept-focus-093</v>
      </c>
      <c r="BF94" t="str">
        <f t="shared" si="167"/>
        <v>Cust093-93</v>
      </c>
      <c r="BG94" t="str">
        <f t="shared" si="168"/>
        <v>Customer: mahesh YADAV  ,Type: Corporate</v>
      </c>
      <c r="BH94" t="str">
        <f t="shared" si="169"/>
        <v>Modasa,india</v>
      </c>
      <c r="BI94" t="str">
        <f t="shared" si="170"/>
        <v>Cust</v>
      </c>
      <c r="BJ94" t="str">
        <f t="shared" si="171"/>
        <v>MAHESH.YAD</v>
      </c>
      <c r="BK94" t="str">
        <f t="shared" si="172"/>
        <v xml:space="preserve">mahesh </v>
      </c>
      <c r="BL94" t="str">
        <f t="shared" si="173"/>
        <v>prd-f</v>
      </c>
      <c r="BM94" t="str">
        <f t="shared" si="174"/>
        <v>Cor</v>
      </c>
      <c r="BN94" t="str">
        <f t="shared" si="175"/>
        <v>+91-9876</v>
      </c>
      <c r="BO94" t="str">
        <f t="shared" si="176"/>
        <v>COMPANY.IN</v>
      </c>
      <c r="BP94" t="str">
        <f t="shared" si="177"/>
        <v>Modasa</v>
      </c>
      <c r="BQ94" t="str">
        <f t="shared" si="178"/>
        <v>t093</v>
      </c>
      <c r="BR94" t="str">
        <f t="shared" si="179"/>
        <v xml:space="preserve"> YADAV</v>
      </c>
      <c r="BS94" t="str">
        <f t="shared" si="180"/>
        <v>ow-093</v>
      </c>
      <c r="BU94" t="str">
        <f t="shared" si="181"/>
        <v>89012</v>
      </c>
      <c r="BV94" t="str">
        <f t="shared" si="182"/>
        <v>383315</v>
      </c>
      <c r="BW94" t="str">
        <f t="shared" si="183"/>
        <v xml:space="preserve"> GUJARAT</v>
      </c>
      <c r="BX94" t="str">
        <f t="shared" si="184"/>
        <v>093</v>
      </c>
      <c r="BY94" t="str">
        <f t="shared" si="185"/>
        <v>focus</v>
      </c>
      <c r="BZ94" t="str">
        <f t="shared" si="186"/>
        <v>follow</v>
      </c>
      <c r="CA94" t="str">
        <f t="shared" si="187"/>
        <v>Oct</v>
      </c>
      <c r="CB94" t="str">
        <f t="shared" si="188"/>
        <v>FOCUS</v>
      </c>
      <c r="CC94">
        <f t="shared" si="189"/>
        <v>13</v>
      </c>
      <c r="CD94">
        <f t="shared" si="190"/>
        <v>14</v>
      </c>
      <c r="CE94">
        <f t="shared" si="191"/>
        <v>23</v>
      </c>
      <c r="CF94">
        <f t="shared" si="192"/>
        <v>7</v>
      </c>
      <c r="CG94">
        <f t="shared" si="193"/>
        <v>25</v>
      </c>
      <c r="CH94">
        <f t="shared" si="194"/>
        <v>7</v>
      </c>
      <c r="CI94">
        <f t="shared" si="195"/>
        <v>7</v>
      </c>
      <c r="CJ94" t="str">
        <f t="shared" si="196"/>
        <v>Not found</v>
      </c>
      <c r="CK94">
        <f t="shared" si="197"/>
        <v>14</v>
      </c>
      <c r="CL94">
        <f t="shared" si="198"/>
        <v>4</v>
      </c>
      <c r="CM94">
        <f t="shared" si="199"/>
        <v>11</v>
      </c>
      <c r="CN94">
        <f t="shared" si="200"/>
        <v>7</v>
      </c>
      <c r="CO94">
        <f t="shared" si="201"/>
        <v>17</v>
      </c>
      <c r="CP94">
        <f t="shared" si="202"/>
        <v>11</v>
      </c>
      <c r="CQ94">
        <f t="shared" si="203"/>
        <v>14</v>
      </c>
      <c r="CR94">
        <f t="shared" si="204"/>
        <v>7</v>
      </c>
      <c r="CS94">
        <f t="shared" si="205"/>
        <v>9</v>
      </c>
      <c r="CT94">
        <f t="shared" si="206"/>
        <v>11</v>
      </c>
      <c r="CU94">
        <f t="shared" si="207"/>
        <v>25</v>
      </c>
      <c r="CV94">
        <f t="shared" si="208"/>
        <v>3</v>
      </c>
      <c r="CW94" t="str">
        <f t="shared" si="209"/>
        <v>Customer ID093</v>
      </c>
      <c r="CX94" t="str">
        <f t="shared" si="210"/>
        <v>MAHESH.YADAV[AT]COMPANY.IN</v>
      </c>
      <c r="CY94" t="str">
        <f t="shared" si="211"/>
        <v>Product-FOLLOW-093</v>
      </c>
      <c r="CZ94" t="str">
        <f t="shared" si="212"/>
        <v>prd_follow_093</v>
      </c>
      <c r="DA94" t="str">
        <f t="shared" si="213"/>
        <v>DEPARTMENT-FOCUS-093</v>
      </c>
      <c r="DB94" t="str">
        <f t="shared" si="214"/>
        <v>MAHESH.YADAV@COMPANY.IN</v>
      </c>
      <c r="DC94" t="str">
        <f t="shared" si="215"/>
        <v>HTTPS://FOCUS.IN</v>
      </c>
      <c r="DD94" t="str">
        <f t="shared" si="216"/>
        <v>mahesh/YADAV//</v>
      </c>
      <c r="DE94" t="str">
        <f t="shared" si="217"/>
        <v>Corporate</v>
      </c>
      <c r="DF94" t="str">
        <f t="shared" si="218"/>
        <v>Modasa; GUJARAT;383315</v>
      </c>
      <c r="DG94" t="str">
        <f t="shared" si="219"/>
        <v>FOCUS PULLER</v>
      </c>
      <c r="DH94" t="str">
        <f t="shared" si="220"/>
        <v>+91-9876789012</v>
      </c>
      <c r="DI94" t="str">
        <f t="shared" si="221"/>
        <v xml:space="preserve">  FOCUS systems PRO  </v>
      </c>
      <c r="DJ94" t="str">
        <f t="shared" si="222"/>
        <v>https:://focus.in</v>
      </c>
      <c r="DK94" t="str">
        <f t="shared" si="223"/>
        <v>159  Highway</v>
      </c>
      <c r="DL94" t="str">
        <f t="shared" si="224"/>
        <v>MAHESH.YADAV</v>
      </c>
      <c r="DM94" t="str">
        <f t="shared" si="225"/>
        <v>mahesh.YADAV@  FOCUS systems PRO  .com</v>
      </c>
      <c r="DN94" t="str">
        <f t="shared" si="226"/>
        <v>mahesh</v>
      </c>
      <c r="DO94" t="str">
        <f t="shared" si="227"/>
        <v>YADAV</v>
      </c>
      <c r="DP94" t="str">
        <f t="shared" si="228"/>
        <v>YADAV,mahesh</v>
      </c>
      <c r="DQ94" t="str">
        <f t="shared" si="229"/>
        <v>Name has12characters</v>
      </c>
      <c r="DR94" t="str">
        <f t="shared" si="230"/>
        <v>Check Domain</v>
      </c>
      <c r="DS94" t="str">
        <f t="shared" si="231"/>
        <v>+91-</v>
      </c>
      <c r="DT94" t="str">
        <f t="shared" si="232"/>
        <v>Cus093</v>
      </c>
      <c r="DU94" t="str">
        <f t="shared" si="233"/>
        <v>myadav</v>
      </c>
      <c r="DV94" t="str">
        <f t="shared" si="234"/>
        <v>prd093</v>
      </c>
      <c r="DW94" t="str">
        <f t="shared" si="235"/>
        <v>+91-9876789012</v>
      </c>
      <c r="DX94" t="str">
        <f t="shared" si="236"/>
        <v>2025</v>
      </c>
      <c r="DY94" t="str">
        <f t="shared" si="237"/>
        <v>m</v>
      </c>
      <c r="DZ94" t="str">
        <f t="shared" si="238"/>
        <v>maheshYADAV@  FOCUS systems PRO  .com</v>
      </c>
      <c r="EA94" t="str">
        <f t="shared" si="239"/>
        <v/>
      </c>
      <c r="EB94" t="str">
        <f t="shared" si="240"/>
        <v>COMPANY.IN</v>
      </c>
      <c r="EC94">
        <f t="shared" si="241"/>
        <v>25</v>
      </c>
      <c r="ED94" t="str">
        <f t="shared" si="242"/>
        <v>Mo93</v>
      </c>
      <c r="EE94" t="str">
        <f t="shared" si="243"/>
        <v>Modasa- GUJARAT(383315)</v>
      </c>
      <c r="EF94" t="str">
        <f t="shared" si="244"/>
        <v>919876789012</v>
      </c>
      <c r="EG94" t="str">
        <f t="shared" si="245"/>
        <v>CUST-093</v>
      </c>
      <c r="EH94" t="str">
        <f t="shared" si="246"/>
        <v>public</v>
      </c>
      <c r="EI94" t="str">
        <f t="shared" si="247"/>
        <v>PRD-093-26Oct25</v>
      </c>
      <c r="EJ94" t="str">
        <f t="shared" si="248"/>
        <v>Corporate</v>
      </c>
    </row>
    <row r="95" spans="1:140" x14ac:dyDescent="0.3">
      <c r="A95" t="s">
        <v>1226</v>
      </c>
      <c r="B95" t="s">
        <v>1566</v>
      </c>
      <c r="C95" t="s">
        <v>1537</v>
      </c>
      <c r="D95" t="s">
        <v>1227</v>
      </c>
      <c r="E95" t="s">
        <v>1228</v>
      </c>
      <c r="F95" t="s">
        <v>1229</v>
      </c>
      <c r="G95" t="s">
        <v>1100</v>
      </c>
      <c r="H95" t="s">
        <v>1701</v>
      </c>
      <c r="I95" t="s">
        <v>1629</v>
      </c>
      <c r="J95">
        <v>388620</v>
      </c>
      <c r="K95" t="str">
        <f t="shared" si="138"/>
        <v>khambhat, GUJARAT,388620</v>
      </c>
      <c r="L95" t="s">
        <v>1230</v>
      </c>
      <c r="M95" t="s">
        <v>1231</v>
      </c>
      <c r="N95" t="s">
        <v>1232</v>
      </c>
      <c r="O95" t="s">
        <v>78</v>
      </c>
      <c r="P95" t="s">
        <v>1233</v>
      </c>
      <c r="Q95" t="s">
        <v>1234</v>
      </c>
      <c r="R95" t="s">
        <v>1235</v>
      </c>
      <c r="S95" t="s">
        <v>1236</v>
      </c>
      <c r="T95" t="s">
        <v>1237</v>
      </c>
      <c r="U95" t="str">
        <f t="shared" si="129"/>
        <v>ANJANA JAIN</v>
      </c>
      <c r="V95" t="str">
        <f t="shared" si="130"/>
        <v>anjana.jain@mail.in</v>
      </c>
      <c r="W95" t="str">
        <f t="shared" si="139"/>
        <v>Khambhat</v>
      </c>
      <c r="X95" t="str">
        <f t="shared" si="131"/>
        <v>anjana jain</v>
      </c>
      <c r="Y95" t="str">
        <f t="shared" si="140"/>
        <v>RETAIL</v>
      </c>
      <c r="Z95" t="str">
        <f t="shared" si="141"/>
        <v>matte box solutions</v>
      </c>
      <c r="AA95" t="str">
        <f t="shared" si="142"/>
        <v>Cinematographer</v>
      </c>
      <c r="AB95" t="str">
        <f t="shared" si="132"/>
        <v>357 College Road</v>
      </c>
      <c r="AC95" t="str">
        <f t="shared" si="143"/>
        <v>DEPT-CINEMA-094</v>
      </c>
      <c r="AD95" t="str">
        <f t="shared" si="144"/>
        <v>Arri Matte Box Lmb-25</v>
      </c>
      <c r="AE95" t="str">
        <f t="shared" si="145"/>
        <v>www.mattebox.com</v>
      </c>
      <c r="AF95" t="str">
        <f t="shared" si="146"/>
        <v>2-stage design needed</v>
      </c>
      <c r="AG95" t="str">
        <f t="shared" si="133"/>
        <v>CUST094</v>
      </c>
      <c r="AH95" t="str">
        <f t="shared" si="147"/>
        <v>PRD-MATT-094</v>
      </c>
      <c r="AI95" t="str">
        <f t="shared" si="134"/>
        <v>Anjana Jain</v>
      </c>
      <c r="AJ95" t="str">
        <f t="shared" si="135"/>
        <v>(02764) 9876-0123</v>
      </c>
      <c r="AK95" t="str">
        <f t="shared" si="148"/>
        <v>retail</v>
      </c>
      <c r="AL95" t="str">
        <f t="shared" si="149"/>
        <v>Matte Box Solutions</v>
      </c>
      <c r="AM95" t="str">
        <f t="shared" si="136"/>
        <v>anjana.jain@mail.in</v>
      </c>
      <c r="AN95" t="str">
        <f t="shared" si="150"/>
        <v>CINEMATOGRAPHER</v>
      </c>
      <c r="AO95" t="str">
        <f t="shared" si="137"/>
        <v>CUST094-anjana jain</v>
      </c>
      <c r="AP95" t="str">
        <f t="shared" si="151"/>
        <v>anjana jain</v>
      </c>
      <c r="AQ95" t="str">
        <f t="shared" si="152"/>
        <v>khambhat, GUJARAT</v>
      </c>
      <c r="AR95" t="str">
        <f t="shared" si="153"/>
        <v>prd-matt-094:ARRI matte BOX lmb-25</v>
      </c>
      <c r="AS95" t="str">
        <f t="shared" si="154"/>
        <v>anjana.jain@mail.in|(02764) 9876-0123</v>
      </c>
      <c r="AT95" t="str">
        <f t="shared" si="155"/>
        <v>matte BOX solutions-Cinematographer</v>
      </c>
      <c r="AU95" t="str">
        <f t="shared" si="156"/>
        <v>retail 02-Nov-2025</v>
      </c>
      <c r="AV95" t="str">
        <f t="shared" si="157"/>
        <v>357 College Road,khambhat, GUJARAT,388620</v>
      </c>
      <c r="AW95" t="str">
        <f t="shared" si="158"/>
        <v>dept-cinema-094_Cinematographer</v>
      </c>
      <c r="AX95" t="str">
        <f t="shared" si="159"/>
        <v>Customer ID:CUST094</v>
      </c>
      <c r="AY95" t="str">
        <f t="shared" si="160"/>
        <v>Email:anjana.jain@mail.in</v>
      </c>
      <c r="AZ95" t="str">
        <f t="shared" si="161"/>
        <v>WWW.MATTEBOX.COM/contact</v>
      </c>
      <c r="BA95" t="str">
        <f t="shared" si="162"/>
        <v>Order Placed On 02-Nov-2025</v>
      </c>
      <c r="BB95" t="str">
        <f t="shared" si="163"/>
        <v>anjana jain(retail)</v>
      </c>
      <c r="BC95" t="str">
        <f t="shared" si="164"/>
        <v>prd-matt-094/ARRI matte BOX lmb-25</v>
      </c>
      <c r="BD95" t="str">
        <f t="shared" si="165"/>
        <v>call (02764) 9876-0123</v>
      </c>
      <c r="BE95" t="str">
        <f t="shared" si="166"/>
        <v>matte BOX solutions-dept-cinema-094</v>
      </c>
      <c r="BF95" t="str">
        <f t="shared" si="167"/>
        <v>CUST094-94</v>
      </c>
      <c r="BG95" t="str">
        <f t="shared" si="168"/>
        <v>Customer: anjana jain,Type: retail</v>
      </c>
      <c r="BH95" t="str">
        <f t="shared" si="169"/>
        <v>khambhat,india</v>
      </c>
      <c r="BI95" t="str">
        <f t="shared" si="170"/>
        <v>CUST</v>
      </c>
      <c r="BJ95" t="str">
        <f t="shared" si="171"/>
        <v>anjana.jai</v>
      </c>
      <c r="BK95" t="str">
        <f t="shared" si="172"/>
        <v xml:space="preserve">anjana </v>
      </c>
      <c r="BL95" t="str">
        <f t="shared" si="173"/>
        <v>prd-m</v>
      </c>
      <c r="BM95" t="str">
        <f t="shared" si="174"/>
        <v>ret</v>
      </c>
      <c r="BN95" t="str">
        <f t="shared" si="175"/>
        <v xml:space="preserve">(02764) </v>
      </c>
      <c r="BO95" t="str">
        <f t="shared" si="176"/>
        <v>mail.in</v>
      </c>
      <c r="BP95" t="str">
        <f t="shared" si="177"/>
        <v>khambhat</v>
      </c>
      <c r="BQ95" t="str">
        <f t="shared" si="178"/>
        <v>T094</v>
      </c>
      <c r="BR95" t="str">
        <f t="shared" si="179"/>
        <v>a jain</v>
      </c>
      <c r="BS95" t="str">
        <f t="shared" si="180"/>
        <v>tt-094</v>
      </c>
      <c r="BU95" t="str">
        <f t="shared" si="181"/>
        <v>-0123</v>
      </c>
      <c r="BV95" t="str">
        <f t="shared" si="182"/>
        <v>388620</v>
      </c>
      <c r="BW95" t="str">
        <f t="shared" si="183"/>
        <v xml:space="preserve"> GUJARAT</v>
      </c>
      <c r="BX95" t="str">
        <f t="shared" si="184"/>
        <v>094</v>
      </c>
      <c r="BY95" t="str">
        <f t="shared" si="185"/>
        <v>cinema</v>
      </c>
      <c r="BZ95" t="str">
        <f t="shared" si="186"/>
        <v>matt</v>
      </c>
      <c r="CA95" t="str">
        <f t="shared" si="187"/>
        <v>Nov</v>
      </c>
      <c r="CB95" t="str">
        <f t="shared" si="188"/>
        <v>tte B</v>
      </c>
      <c r="CC95">
        <f t="shared" si="189"/>
        <v>12</v>
      </c>
      <c r="CD95">
        <f t="shared" si="190"/>
        <v>11</v>
      </c>
      <c r="CE95">
        <f t="shared" si="191"/>
        <v>19</v>
      </c>
      <c r="CF95">
        <f t="shared" si="192"/>
        <v>7</v>
      </c>
      <c r="CG95">
        <f t="shared" si="193"/>
        <v>21</v>
      </c>
      <c r="CH95">
        <f t="shared" si="194"/>
        <v>9</v>
      </c>
      <c r="CI95">
        <f t="shared" si="195"/>
        <v>7</v>
      </c>
      <c r="CJ95" t="str">
        <f t="shared" si="196"/>
        <v>Not found</v>
      </c>
      <c r="CK95">
        <f t="shared" si="197"/>
        <v>17</v>
      </c>
      <c r="CL95">
        <f t="shared" si="198"/>
        <v>4</v>
      </c>
      <c r="CM95">
        <f t="shared" si="199"/>
        <v>16</v>
      </c>
      <c r="CN95">
        <f t="shared" si="200"/>
        <v>7</v>
      </c>
      <c r="CO95">
        <f t="shared" si="201"/>
        <v>19</v>
      </c>
      <c r="CP95">
        <f t="shared" si="202"/>
        <v>9</v>
      </c>
      <c r="CQ95">
        <f t="shared" si="203"/>
        <v>15</v>
      </c>
      <c r="CR95" t="str">
        <f t="shared" si="204"/>
        <v>not found</v>
      </c>
      <c r="CS95">
        <f t="shared" si="205"/>
        <v>6</v>
      </c>
      <c r="CT95">
        <f t="shared" si="206"/>
        <v>9</v>
      </c>
      <c r="CU95">
        <f t="shared" si="207"/>
        <v>25</v>
      </c>
      <c r="CV95">
        <f t="shared" si="208"/>
        <v>3</v>
      </c>
      <c r="CW95" t="str">
        <f t="shared" si="209"/>
        <v>Customer ID094</v>
      </c>
      <c r="CX95" t="str">
        <f t="shared" si="210"/>
        <v>anjana.jain[AT]mail.in</v>
      </c>
      <c r="CY95" t="str">
        <f t="shared" si="211"/>
        <v>Product-MATT-094</v>
      </c>
      <c r="CZ95" t="str">
        <f t="shared" si="212"/>
        <v>prd_matt_094</v>
      </c>
      <c r="DA95" t="str">
        <f t="shared" si="213"/>
        <v>DEPARTMENT-CINEMA-094</v>
      </c>
      <c r="DB95" t="str">
        <f t="shared" si="214"/>
        <v>ANJANA.JAIN@MAIL.IN</v>
      </c>
      <c r="DC95" t="str">
        <f t="shared" si="215"/>
        <v>https://www..MATTEBOX.COM</v>
      </c>
      <c r="DD95" t="str">
        <f t="shared" si="216"/>
        <v>anjana/jain</v>
      </c>
      <c r="DE95" t="str">
        <f t="shared" si="217"/>
        <v>RETAIL CUSTOMER</v>
      </c>
      <c r="DF95" t="str">
        <f t="shared" si="218"/>
        <v>khambhat; GUJARAT;388620</v>
      </c>
      <c r="DG95" t="str">
        <f t="shared" si="219"/>
        <v>Cinematographer</v>
      </c>
      <c r="DH95" t="str">
        <f t="shared" si="220"/>
        <v xml:space="preserve"> 02764  9876-0123</v>
      </c>
      <c r="DI95" t="str">
        <f t="shared" si="221"/>
        <v>matte BOX solutions</v>
      </c>
      <c r="DJ95" t="str">
        <f t="shared" si="222"/>
        <v>WWW.MATTEBOX.COM</v>
      </c>
      <c r="DK95" t="str">
        <f t="shared" si="223"/>
        <v>357  College  Road</v>
      </c>
      <c r="DL95" t="str">
        <f t="shared" si="224"/>
        <v>anjana.jain</v>
      </c>
      <c r="DM95" t="str">
        <f t="shared" si="225"/>
        <v>anjana.jain@matte BOX solutions.com</v>
      </c>
      <c r="DN95" t="str">
        <f t="shared" si="226"/>
        <v>anjana</v>
      </c>
      <c r="DO95" t="str">
        <f t="shared" si="227"/>
        <v>jain</v>
      </c>
      <c r="DP95" t="str">
        <f t="shared" si="228"/>
        <v>jain,anjana</v>
      </c>
      <c r="DQ95" t="str">
        <f t="shared" si="229"/>
        <v>Name has11characters</v>
      </c>
      <c r="DR95" t="str">
        <f t="shared" si="230"/>
        <v>Check Domain</v>
      </c>
      <c r="DS95" t="str">
        <f t="shared" si="231"/>
        <v>(027</v>
      </c>
      <c r="DT95" t="str">
        <f t="shared" si="232"/>
        <v>CUS094</v>
      </c>
      <c r="DU95" t="str">
        <f t="shared" si="233"/>
        <v>ajain</v>
      </c>
      <c r="DV95" t="str">
        <f t="shared" si="234"/>
        <v>prd094</v>
      </c>
      <c r="DW95" t="str">
        <f t="shared" si="235"/>
        <v>(02764) 9876-0123</v>
      </c>
      <c r="DX95" t="str">
        <f t="shared" si="236"/>
        <v>2025</v>
      </c>
      <c r="DY95" t="str">
        <f t="shared" si="237"/>
        <v>a</v>
      </c>
      <c r="DZ95" t="str">
        <f t="shared" si="238"/>
        <v>anjanajain@matte BOX solutions.com</v>
      </c>
      <c r="EA95" t="str">
        <f t="shared" si="239"/>
        <v>Retail</v>
      </c>
      <c r="EB95" t="str">
        <f t="shared" si="240"/>
        <v>mail.in</v>
      </c>
      <c r="EC95">
        <f t="shared" si="241"/>
        <v>21</v>
      </c>
      <c r="ED95" t="str">
        <f t="shared" si="242"/>
        <v>kh94</v>
      </c>
      <c r="EE95" t="str">
        <f t="shared" si="243"/>
        <v>khambhat- GUJARAT(388620)</v>
      </c>
      <c r="EF95" t="str">
        <f t="shared" si="244"/>
        <v>0276498760123</v>
      </c>
      <c r="EG95" t="str">
        <f t="shared" si="245"/>
        <v>CUST-094</v>
      </c>
      <c r="EH95" t="str">
        <f t="shared" si="246"/>
        <v>public</v>
      </c>
      <c r="EI95" t="str">
        <f t="shared" si="247"/>
        <v>PRD-094-02Nov25</v>
      </c>
      <c r="EJ95" t="str">
        <f t="shared" si="248"/>
        <v>Retail</v>
      </c>
    </row>
    <row r="96" spans="1:140" x14ac:dyDescent="0.3">
      <c r="A96" t="s">
        <v>1238</v>
      </c>
      <c r="B96" t="s">
        <v>1567</v>
      </c>
      <c r="C96" t="s">
        <v>1473</v>
      </c>
      <c r="D96" t="s">
        <v>1239</v>
      </c>
      <c r="E96" t="s">
        <v>1240</v>
      </c>
      <c r="F96" t="s">
        <v>1241</v>
      </c>
      <c r="G96" t="s">
        <v>1242</v>
      </c>
      <c r="H96" t="s">
        <v>1702</v>
      </c>
      <c r="I96" t="s">
        <v>1594</v>
      </c>
      <c r="J96">
        <v>365560</v>
      </c>
      <c r="K96" t="str">
        <f t="shared" si="138"/>
        <v>RAJULA, Gujarat,365560</v>
      </c>
      <c r="L96" t="s">
        <v>1243</v>
      </c>
      <c r="M96" t="s">
        <v>1244</v>
      </c>
      <c r="N96" t="s">
        <v>1245</v>
      </c>
      <c r="O96" t="s">
        <v>92</v>
      </c>
      <c r="P96" t="s">
        <v>1246</v>
      </c>
      <c r="Q96" t="s">
        <v>1247</v>
      </c>
      <c r="R96" t="s">
        <v>1248</v>
      </c>
      <c r="S96" t="s">
        <v>1249</v>
      </c>
      <c r="T96" t="s">
        <v>1250</v>
      </c>
      <c r="U96" t="str">
        <f t="shared" si="129"/>
        <v xml:space="preserve">  SUBHASH KHANNA</v>
      </c>
      <c r="V96" t="str">
        <f t="shared" si="130"/>
        <v>subhash_khanna@email.in</v>
      </c>
      <c r="W96" t="str">
        <f t="shared" si="139"/>
        <v>Rajula</v>
      </c>
      <c r="X96" t="str">
        <f t="shared" si="131"/>
        <v>SUBHASH khanna</v>
      </c>
      <c r="Y96" t="str">
        <f t="shared" si="140"/>
        <v>WHOLESALE</v>
      </c>
      <c r="Z96" t="str">
        <f t="shared" si="141"/>
        <v>lighting flag india</v>
      </c>
      <c r="AA96" t="str">
        <f t="shared" si="142"/>
        <v>Gaffer</v>
      </c>
      <c r="AB96" t="str">
        <f t="shared" si="132"/>
        <v>741 Beach Road</v>
      </c>
      <c r="AC96" t="str">
        <f t="shared" si="143"/>
        <v>DEPT-LIGHT-095</v>
      </c>
      <c r="AD96" t="str">
        <f t="shared" si="144"/>
        <v>Arri Flag Set 18X24</v>
      </c>
      <c r="AE96" t="str">
        <f t="shared" si="145"/>
        <v>www.flags.in</v>
      </c>
      <c r="AF96" t="str">
        <f t="shared" si="146"/>
        <v>Solid and net flags</v>
      </c>
      <c r="AG96" t="str">
        <f t="shared" si="133"/>
        <v>CUST095</v>
      </c>
      <c r="AH96" t="str">
        <f t="shared" si="147"/>
        <v>PRD-FLAG-095</v>
      </c>
      <c r="AI96" t="str">
        <f t="shared" si="134"/>
        <v xml:space="preserve">  Subhash Khanna</v>
      </c>
      <c r="AJ96" t="str">
        <f t="shared" si="135"/>
        <v>02791-23456</v>
      </c>
      <c r="AK96" t="str">
        <f t="shared" si="148"/>
        <v>wholesale</v>
      </c>
      <c r="AL96" t="str">
        <f t="shared" si="149"/>
        <v>Lighting Flag India</v>
      </c>
      <c r="AM96" t="str">
        <f t="shared" si="136"/>
        <v>subhash_khanna@email.in</v>
      </c>
      <c r="AN96" t="str">
        <f t="shared" si="150"/>
        <v>GAFFER</v>
      </c>
      <c r="AO96" t="str">
        <f t="shared" si="137"/>
        <v>cust095-  SUBHASH khanna</v>
      </c>
      <c r="AP96" t="str">
        <f t="shared" si="151"/>
        <v>SUBHASH khanna</v>
      </c>
      <c r="AQ96" t="str">
        <f t="shared" si="152"/>
        <v>RAJULA, Gujarat</v>
      </c>
      <c r="AR96" t="str">
        <f t="shared" si="153"/>
        <v>PRD-FLAG-095:ARRI flag SET 18x24</v>
      </c>
      <c r="AS96" t="str">
        <f t="shared" si="154"/>
        <v>subhash_khanna@email.in|02791-23456</v>
      </c>
      <c r="AT96" t="str">
        <f t="shared" si="155"/>
        <v>LIGHTING flag INDIA-Gaffer</v>
      </c>
      <c r="AU96" t="str">
        <f t="shared" si="156"/>
        <v>WholeSale 09-Nov-2025</v>
      </c>
      <c r="AV96" t="str">
        <f t="shared" si="157"/>
        <v xml:space="preserve">  741 Beach Road  ,RAJULA, Gujarat,365560</v>
      </c>
      <c r="AW96" t="str">
        <f t="shared" si="158"/>
        <v>DEPT-LIGHT-095_Gaffer</v>
      </c>
      <c r="AX96" t="str">
        <f t="shared" si="159"/>
        <v>Customer ID:cust095</v>
      </c>
      <c r="AY96" t="str">
        <f t="shared" si="160"/>
        <v>Email:subhash_khanna@email.in</v>
      </c>
      <c r="AZ96" t="str">
        <f t="shared" si="161"/>
        <v>www.flags.in/contact</v>
      </c>
      <c r="BA96" t="str">
        <f t="shared" si="162"/>
        <v>Order Placed On 09-Nov-2025</v>
      </c>
      <c r="BB96" t="str">
        <f t="shared" si="163"/>
        <v xml:space="preserve">  SUBHASH khanna(WholeSale)</v>
      </c>
      <c r="BC96" t="str">
        <f t="shared" si="164"/>
        <v>PRD-FLAG-095/ARRI flag SET 18x24</v>
      </c>
      <c r="BD96" t="str">
        <f t="shared" si="165"/>
        <v>call 02791-23456</v>
      </c>
      <c r="BE96" t="str">
        <f t="shared" si="166"/>
        <v>LIGHTING flag INDIA-DEPT-LIGHT-095</v>
      </c>
      <c r="BF96" t="str">
        <f t="shared" si="167"/>
        <v>cust095-95</v>
      </c>
      <c r="BG96" t="str">
        <f t="shared" si="168"/>
        <v>Customer:   SUBHASH khanna,Type: WholeSale</v>
      </c>
      <c r="BH96" t="str">
        <f t="shared" si="169"/>
        <v>RAJULA,india</v>
      </c>
      <c r="BI96" t="str">
        <f t="shared" si="170"/>
        <v>cust</v>
      </c>
      <c r="BJ96" t="str">
        <f t="shared" si="171"/>
        <v>subhash_kh</v>
      </c>
      <c r="BK96" t="str">
        <f t="shared" si="172"/>
        <v xml:space="preserve">SUBHASH </v>
      </c>
      <c r="BL96" t="str">
        <f t="shared" si="173"/>
        <v>PRD-F</v>
      </c>
      <c r="BM96" t="str">
        <f t="shared" si="174"/>
        <v>Who</v>
      </c>
      <c r="BN96" t="str">
        <f t="shared" si="175"/>
        <v>02791-23</v>
      </c>
      <c r="BO96" t="str">
        <f t="shared" si="176"/>
        <v>email.in</v>
      </c>
      <c r="BP96" t="str">
        <f t="shared" si="177"/>
        <v>RAJULA</v>
      </c>
      <c r="BQ96" t="str">
        <f t="shared" si="178"/>
        <v>t095</v>
      </c>
      <c r="BR96" t="str">
        <f t="shared" si="179"/>
        <v xml:space="preserve"> khanna</v>
      </c>
      <c r="BS96" t="str">
        <f t="shared" si="180"/>
        <v>AG-095</v>
      </c>
      <c r="BU96" t="str">
        <f t="shared" si="181"/>
        <v>23456</v>
      </c>
      <c r="BV96" t="str">
        <f t="shared" si="182"/>
        <v>365560</v>
      </c>
      <c r="BW96" t="str">
        <f t="shared" si="183"/>
        <v xml:space="preserve"> Gujarat</v>
      </c>
      <c r="BX96" t="str">
        <f t="shared" si="184"/>
        <v>095</v>
      </c>
      <c r="BY96" t="str">
        <f t="shared" si="185"/>
        <v>LIGHT</v>
      </c>
      <c r="BZ96" t="str">
        <f t="shared" si="186"/>
        <v>FLAG</v>
      </c>
      <c r="CA96" t="str">
        <f t="shared" si="187"/>
        <v>Nov</v>
      </c>
      <c r="CB96" t="str">
        <f t="shared" si="188"/>
        <v>GHTIN</v>
      </c>
      <c r="CC96">
        <f t="shared" si="189"/>
        <v>15</v>
      </c>
      <c r="CD96">
        <f t="shared" si="190"/>
        <v>16</v>
      </c>
      <c r="CE96">
        <f t="shared" si="191"/>
        <v>23</v>
      </c>
      <c r="CF96">
        <f t="shared" si="192"/>
        <v>1</v>
      </c>
      <c r="CG96">
        <f t="shared" si="193"/>
        <v>19</v>
      </c>
      <c r="CH96">
        <f t="shared" si="194"/>
        <v>7</v>
      </c>
      <c r="CI96">
        <f t="shared" si="195"/>
        <v>7</v>
      </c>
      <c r="CJ96">
        <f t="shared" si="196"/>
        <v>1</v>
      </c>
      <c r="CK96">
        <f t="shared" si="197"/>
        <v>11</v>
      </c>
      <c r="CL96">
        <f t="shared" si="198"/>
        <v>4</v>
      </c>
      <c r="CM96">
        <f t="shared" si="199"/>
        <v>18</v>
      </c>
      <c r="CN96">
        <f t="shared" si="200"/>
        <v>21</v>
      </c>
      <c r="CO96">
        <f t="shared" si="201"/>
        <v>19</v>
      </c>
      <c r="CP96">
        <f t="shared" si="202"/>
        <v>9</v>
      </c>
      <c r="CQ96">
        <f t="shared" si="203"/>
        <v>14</v>
      </c>
      <c r="CR96" t="str">
        <f t="shared" si="204"/>
        <v>not found</v>
      </c>
      <c r="CS96">
        <f t="shared" si="205"/>
        <v>9</v>
      </c>
      <c r="CT96">
        <f t="shared" si="206"/>
        <v>9</v>
      </c>
      <c r="CU96">
        <f t="shared" si="207"/>
        <v>19</v>
      </c>
      <c r="CV96">
        <f t="shared" si="208"/>
        <v>3</v>
      </c>
      <c r="CW96" t="str">
        <f t="shared" si="209"/>
        <v>Customer ID095</v>
      </c>
      <c r="CX96" t="str">
        <f t="shared" si="210"/>
        <v>subhash_khanna[AT]email.in</v>
      </c>
      <c r="CY96" t="str">
        <f t="shared" si="211"/>
        <v>Product-FLAG-095</v>
      </c>
      <c r="CZ96" t="str">
        <f t="shared" si="212"/>
        <v>PRD_FLAG_095</v>
      </c>
      <c r="DA96" t="str">
        <f t="shared" si="213"/>
        <v>DEPARTMENT-LIGHT-095</v>
      </c>
      <c r="DB96" t="str">
        <f t="shared" si="214"/>
        <v>SUBHASH_KHANNA@EMAIL.IN</v>
      </c>
      <c r="DC96" t="str">
        <f t="shared" si="215"/>
        <v>https://www..FLAGS.IN</v>
      </c>
      <c r="DD96" t="str">
        <f t="shared" si="216"/>
        <v>//SUBHASH/khanna</v>
      </c>
      <c r="DE96" t="str">
        <f t="shared" si="217"/>
        <v>WholeSale</v>
      </c>
      <c r="DF96" t="str">
        <f t="shared" si="218"/>
        <v>RAJULA; Gujarat;365560</v>
      </c>
      <c r="DG96" t="str">
        <f t="shared" si="219"/>
        <v>Gaffer</v>
      </c>
      <c r="DH96" t="str">
        <f t="shared" si="220"/>
        <v>02791-23456</v>
      </c>
      <c r="DI96" t="str">
        <f t="shared" si="221"/>
        <v>LIGHTING flag INDIA</v>
      </c>
      <c r="DJ96" t="str">
        <f t="shared" si="222"/>
        <v>www.flags.in</v>
      </c>
      <c r="DK96" t="str">
        <f t="shared" si="223"/>
        <v xml:space="preserve">    741  Beach  Road    </v>
      </c>
      <c r="DL96" t="str">
        <f t="shared" si="224"/>
        <v>subhash_khanna</v>
      </c>
      <c r="DM96" t="str">
        <f t="shared" si="225"/>
        <v>SUBHASH.khanna@LIGHTING flag INDIA.com</v>
      </c>
      <c r="DN96" t="str">
        <f t="shared" si="226"/>
        <v>SUBHASH</v>
      </c>
      <c r="DO96" t="str">
        <f t="shared" si="227"/>
        <v>khanna</v>
      </c>
      <c r="DP96" t="str">
        <f t="shared" si="228"/>
        <v>khanna,SUBHASH</v>
      </c>
      <c r="DQ96" t="str">
        <f t="shared" si="229"/>
        <v>Name has14characters</v>
      </c>
      <c r="DR96" t="str">
        <f t="shared" si="230"/>
        <v>Check Domain</v>
      </c>
      <c r="DS96" t="str">
        <f t="shared" si="231"/>
        <v>0279</v>
      </c>
      <c r="DT96" t="str">
        <f t="shared" si="232"/>
        <v>cus095</v>
      </c>
      <c r="DU96" t="str">
        <f t="shared" si="233"/>
        <v>Skhanna</v>
      </c>
      <c r="DV96" t="str">
        <f t="shared" si="234"/>
        <v>PRD095</v>
      </c>
      <c r="DW96" t="str">
        <f t="shared" si="235"/>
        <v>02791-23456</v>
      </c>
      <c r="DX96" t="str">
        <f t="shared" si="236"/>
        <v>2025</v>
      </c>
      <c r="DY96" t="str">
        <f t="shared" si="237"/>
        <v>S</v>
      </c>
      <c r="DZ96" t="str">
        <f t="shared" si="238"/>
        <v>SUBHASHkhanna@LIGHTING flag INDIA.com</v>
      </c>
      <c r="EA96" t="str">
        <f t="shared" si="239"/>
        <v>Wholesale</v>
      </c>
      <c r="EB96" t="str">
        <f t="shared" si="240"/>
        <v>email.in</v>
      </c>
      <c r="EC96">
        <f t="shared" si="241"/>
        <v>19</v>
      </c>
      <c r="ED96" t="str">
        <f t="shared" si="242"/>
        <v>RA95</v>
      </c>
      <c r="EE96" t="str">
        <f t="shared" si="243"/>
        <v>RAJULA- Gujarat(365560)</v>
      </c>
      <c r="EF96" t="str">
        <f t="shared" si="244"/>
        <v>0279123456</v>
      </c>
      <c r="EG96" t="str">
        <f t="shared" si="245"/>
        <v>CUST-095</v>
      </c>
      <c r="EH96" t="str">
        <f t="shared" si="246"/>
        <v>public</v>
      </c>
      <c r="EI96" t="str">
        <f t="shared" si="247"/>
        <v>PRD-095-09Nov25</v>
      </c>
      <c r="EJ96" t="str">
        <f t="shared" si="248"/>
        <v>Wholesale</v>
      </c>
    </row>
    <row r="97" spans="1:140" x14ac:dyDescent="0.3">
      <c r="A97" t="s">
        <v>1251</v>
      </c>
      <c r="B97" t="s">
        <v>1568</v>
      </c>
      <c r="C97" t="s">
        <v>1420</v>
      </c>
      <c r="D97" t="s">
        <v>1252</v>
      </c>
      <c r="E97" t="s">
        <v>1253</v>
      </c>
      <c r="F97" t="s">
        <v>554</v>
      </c>
      <c r="G97" t="s">
        <v>1254</v>
      </c>
      <c r="H97" t="s">
        <v>1703</v>
      </c>
      <c r="I97" t="s">
        <v>1629</v>
      </c>
      <c r="J97">
        <v>370465</v>
      </c>
      <c r="K97" t="str">
        <f t="shared" si="138"/>
        <v>Mandvi, GUJARAT,370465</v>
      </c>
      <c r="L97" t="s">
        <v>1255</v>
      </c>
      <c r="M97" t="s">
        <v>1256</v>
      </c>
      <c r="N97" t="s">
        <v>1257</v>
      </c>
      <c r="O97" t="s">
        <v>132</v>
      </c>
      <c r="P97" t="s">
        <v>1258</v>
      </c>
      <c r="Q97" t="s">
        <v>1259</v>
      </c>
      <c r="R97" t="s">
        <v>1260</v>
      </c>
      <c r="S97" t="s">
        <v>1261</v>
      </c>
      <c r="T97" t="s">
        <v>1262</v>
      </c>
      <c r="U97" t="str">
        <f t="shared" si="129"/>
        <v xml:space="preserve">PUSHPA KUMAR  </v>
      </c>
      <c r="V97" t="str">
        <f t="shared" si="130"/>
        <v>pushpa.kumar@corporate.in</v>
      </c>
      <c r="W97" t="str">
        <f t="shared" si="139"/>
        <v>Mandvi</v>
      </c>
      <c r="X97" t="str">
        <f t="shared" si="131"/>
        <v>pushpa KUMAR</v>
      </c>
      <c r="Y97" t="str">
        <f t="shared" si="140"/>
        <v>CORPORATE</v>
      </c>
      <c r="Z97" t="str">
        <f t="shared" si="141"/>
        <v xml:space="preserve">  diffusion materials pro  </v>
      </c>
      <c r="AA97" t="str">
        <f t="shared" si="142"/>
        <v>Lighting Director</v>
      </c>
      <c r="AB97" t="str">
        <f t="shared" si="132"/>
        <v>852 Port Road</v>
      </c>
      <c r="AC97" t="str">
        <f t="shared" si="143"/>
        <v>DEPT-LIGHT-096</v>
      </c>
      <c r="AD97" t="str">
        <f t="shared" si="144"/>
        <v>Westcott Scrim Jim Diffusion</v>
      </c>
      <c r="AE97" t="str">
        <f t="shared" si="145"/>
        <v>https://diffusion.in</v>
      </c>
      <c r="AF97" t="str">
        <f t="shared" si="146"/>
        <v>8x8 feet frame size</v>
      </c>
      <c r="AG97" t="str">
        <f t="shared" si="133"/>
        <v>CUST096</v>
      </c>
      <c r="AH97" t="str">
        <f t="shared" si="147"/>
        <v>PRD-DIFF-096</v>
      </c>
      <c r="AI97" t="str">
        <f t="shared" si="134"/>
        <v xml:space="preserve">Pushpa Kumar  </v>
      </c>
      <c r="AJ97" t="str">
        <f t="shared" si="135"/>
        <v>+91-9123890123</v>
      </c>
      <c r="AK97" t="str">
        <f t="shared" si="148"/>
        <v>corporate</v>
      </c>
      <c r="AL97" t="str">
        <f t="shared" si="149"/>
        <v>Diffusion Materials Pro</v>
      </c>
      <c r="AM97" t="str">
        <f t="shared" si="136"/>
        <v>pushpa.kumar@corporate.in</v>
      </c>
      <c r="AN97" t="str">
        <f t="shared" si="150"/>
        <v>LIGHTING DIRECTOR</v>
      </c>
      <c r="AO97" t="str">
        <f t="shared" si="137"/>
        <v xml:space="preserve">Cust096-pushpa KUMAR  </v>
      </c>
      <c r="AP97" t="str">
        <f t="shared" si="151"/>
        <v>pushpa KUMAR</v>
      </c>
      <c r="AQ97" t="str">
        <f t="shared" si="152"/>
        <v>Mandvi, GUJARAT</v>
      </c>
      <c r="AR97" t="str">
        <f t="shared" si="153"/>
        <v>prd-diff-096:WESTCOTT scrim JIM diffusion</v>
      </c>
      <c r="AS97" t="str">
        <f t="shared" si="154"/>
        <v>PUSHPA.KUMAR@CORPORATE.IN|+91-9123890123</v>
      </c>
      <c r="AT97" t="str">
        <f t="shared" si="155"/>
        <v xml:space="preserve">  DIFFUSION materials PRO  -LIGHTING DIRECTOR</v>
      </c>
      <c r="AU97" t="str">
        <f t="shared" si="156"/>
        <v>Corporate 16-Nov-2025</v>
      </c>
      <c r="AV97" t="str">
        <f t="shared" si="157"/>
        <v>852 Port Road,Mandvi, GUJARAT,370465</v>
      </c>
      <c r="AW97" t="str">
        <f t="shared" si="158"/>
        <v>dept-light-096_LIGHTING DIRECTOR</v>
      </c>
      <c r="AX97" t="str">
        <f t="shared" si="159"/>
        <v>Customer ID:Cust096</v>
      </c>
      <c r="AY97" t="str">
        <f t="shared" si="160"/>
        <v>Email:PUSHPA.KUMAR@CORPORATE.IN</v>
      </c>
      <c r="AZ97" t="str">
        <f t="shared" si="161"/>
        <v>https://diffusion.in/contact</v>
      </c>
      <c r="BA97" t="str">
        <f t="shared" si="162"/>
        <v>Order Placed On 16-Nov-2025</v>
      </c>
      <c r="BB97" t="str">
        <f t="shared" si="163"/>
        <v>pushpa KUMAR  (Corporate)</v>
      </c>
      <c r="BC97" t="str">
        <f t="shared" si="164"/>
        <v>prd-diff-096/WESTCOTT scrim JIM diffusion</v>
      </c>
      <c r="BD97" t="str">
        <f t="shared" si="165"/>
        <v>call +91-9123890123</v>
      </c>
      <c r="BE97" t="str">
        <f t="shared" si="166"/>
        <v xml:space="preserve">  DIFFUSION materials PRO  -dept-light-096</v>
      </c>
      <c r="BF97" t="str">
        <f t="shared" si="167"/>
        <v>Cust096-96</v>
      </c>
      <c r="BG97" t="str">
        <f t="shared" si="168"/>
        <v>Customer: pushpa KUMAR  ,Type: Corporate</v>
      </c>
      <c r="BH97" t="str">
        <f t="shared" si="169"/>
        <v>Mandvi,india</v>
      </c>
      <c r="BI97" t="str">
        <f t="shared" si="170"/>
        <v>Cust</v>
      </c>
      <c r="BJ97" t="str">
        <f t="shared" si="171"/>
        <v>PUSHPA.KUM</v>
      </c>
      <c r="BK97" t="str">
        <f t="shared" si="172"/>
        <v xml:space="preserve">pushpa </v>
      </c>
      <c r="BL97" t="str">
        <f t="shared" si="173"/>
        <v>prd-d</v>
      </c>
      <c r="BM97" t="str">
        <f t="shared" si="174"/>
        <v>Cor</v>
      </c>
      <c r="BN97" t="str">
        <f t="shared" si="175"/>
        <v>+91-9123</v>
      </c>
      <c r="BO97" t="str">
        <f t="shared" si="176"/>
        <v>CORPORATE.IN</v>
      </c>
      <c r="BP97" t="str">
        <f t="shared" si="177"/>
        <v>Mandvi</v>
      </c>
      <c r="BQ97" t="str">
        <f t="shared" si="178"/>
        <v>t096</v>
      </c>
      <c r="BR97" t="str">
        <f t="shared" si="179"/>
        <v xml:space="preserve"> KUMAR</v>
      </c>
      <c r="BS97" t="str">
        <f t="shared" si="180"/>
        <v>ff-096</v>
      </c>
      <c r="BU97" t="str">
        <f t="shared" si="181"/>
        <v>90123</v>
      </c>
      <c r="BV97" t="str">
        <f t="shared" si="182"/>
        <v>370465</v>
      </c>
      <c r="BW97" t="str">
        <f t="shared" si="183"/>
        <v xml:space="preserve"> GUJARAT</v>
      </c>
      <c r="BX97" t="str">
        <f t="shared" si="184"/>
        <v>096</v>
      </c>
      <c r="BY97" t="str">
        <f t="shared" si="185"/>
        <v>light</v>
      </c>
      <c r="BZ97" t="str">
        <f t="shared" si="186"/>
        <v>diff</v>
      </c>
      <c r="CA97" t="str">
        <f t="shared" si="187"/>
        <v>Nov</v>
      </c>
      <c r="CB97" t="str">
        <f t="shared" si="188"/>
        <v>DIFFU</v>
      </c>
      <c r="CC97">
        <f t="shared" si="189"/>
        <v>13</v>
      </c>
      <c r="CD97">
        <f t="shared" si="190"/>
        <v>14</v>
      </c>
      <c r="CE97">
        <f t="shared" si="191"/>
        <v>25</v>
      </c>
      <c r="CF97">
        <f t="shared" si="192"/>
        <v>7</v>
      </c>
      <c r="CG97">
        <f t="shared" si="193"/>
        <v>28</v>
      </c>
      <c r="CH97">
        <f t="shared" si="194"/>
        <v>7</v>
      </c>
      <c r="CI97">
        <f t="shared" si="195"/>
        <v>7</v>
      </c>
      <c r="CJ97" t="str">
        <f t="shared" si="196"/>
        <v>Not found</v>
      </c>
      <c r="CK97">
        <f t="shared" si="197"/>
        <v>14</v>
      </c>
      <c r="CL97">
        <f t="shared" si="198"/>
        <v>4</v>
      </c>
      <c r="CM97">
        <f t="shared" si="199"/>
        <v>13</v>
      </c>
      <c r="CN97">
        <f t="shared" si="200"/>
        <v>7</v>
      </c>
      <c r="CO97">
        <f t="shared" si="201"/>
        <v>23</v>
      </c>
      <c r="CP97">
        <f t="shared" si="202"/>
        <v>9</v>
      </c>
      <c r="CQ97">
        <f t="shared" si="203"/>
        <v>14</v>
      </c>
      <c r="CR97">
        <f t="shared" si="204"/>
        <v>7</v>
      </c>
      <c r="CS97">
        <f t="shared" si="205"/>
        <v>9</v>
      </c>
      <c r="CT97">
        <f t="shared" si="206"/>
        <v>9</v>
      </c>
      <c r="CU97">
        <f t="shared" si="207"/>
        <v>19</v>
      </c>
      <c r="CV97">
        <f t="shared" si="208"/>
        <v>3</v>
      </c>
      <c r="CW97" t="str">
        <f t="shared" si="209"/>
        <v>Customer ID096</v>
      </c>
      <c r="CX97" t="str">
        <f t="shared" si="210"/>
        <v>PUSHPA.KUMAR[AT]CORPORATE.IN</v>
      </c>
      <c r="CY97" t="str">
        <f t="shared" si="211"/>
        <v>Product-DIFF-096</v>
      </c>
      <c r="CZ97" t="str">
        <f t="shared" si="212"/>
        <v>prd_diff_096</v>
      </c>
      <c r="DA97" t="str">
        <f t="shared" si="213"/>
        <v>DEPARTMENT-LIGHT-096</v>
      </c>
      <c r="DB97" t="str">
        <f t="shared" si="214"/>
        <v>PUSHPA.KUMAR@CORPORATE.IN</v>
      </c>
      <c r="DC97" t="str">
        <f t="shared" si="215"/>
        <v>HTTPS://DIFFUSION.IN</v>
      </c>
      <c r="DD97" t="str">
        <f t="shared" si="216"/>
        <v>pushpa/KUMAR//</v>
      </c>
      <c r="DE97" t="str">
        <f t="shared" si="217"/>
        <v>Corporate</v>
      </c>
      <c r="DF97" t="str">
        <f t="shared" si="218"/>
        <v>Mandvi; GUJARAT;370465</v>
      </c>
      <c r="DG97" t="str">
        <f t="shared" si="219"/>
        <v>LIGHTING DIRECTOR</v>
      </c>
      <c r="DH97" t="str">
        <f t="shared" si="220"/>
        <v>+91-9123890123</v>
      </c>
      <c r="DI97" t="str">
        <f t="shared" si="221"/>
        <v xml:space="preserve">  DIFFUSION materials PRO  </v>
      </c>
      <c r="DJ97" t="str">
        <f t="shared" si="222"/>
        <v>https:://diffusion.in</v>
      </c>
      <c r="DK97" t="str">
        <f t="shared" si="223"/>
        <v>852  Port  Road</v>
      </c>
      <c r="DL97" t="str">
        <f t="shared" si="224"/>
        <v>PUSHPA.KUMAR</v>
      </c>
      <c r="DM97" t="str">
        <f t="shared" si="225"/>
        <v>pushpa.KUMAR@  DIFFUSION materials PRO  .com</v>
      </c>
      <c r="DN97" t="str">
        <f t="shared" si="226"/>
        <v>pushpa</v>
      </c>
      <c r="DO97" t="str">
        <f t="shared" si="227"/>
        <v>KUMAR</v>
      </c>
      <c r="DP97" t="str">
        <f t="shared" si="228"/>
        <v>KUMAR,pushpa</v>
      </c>
      <c r="DQ97" t="str">
        <f t="shared" si="229"/>
        <v>Name has12characters</v>
      </c>
      <c r="DR97" t="str">
        <f t="shared" si="230"/>
        <v>Check Domain</v>
      </c>
      <c r="DS97" t="str">
        <f t="shared" si="231"/>
        <v>+91-</v>
      </c>
      <c r="DT97" t="str">
        <f t="shared" si="232"/>
        <v>Cus096</v>
      </c>
      <c r="DU97" t="str">
        <f t="shared" si="233"/>
        <v>pkumar</v>
      </c>
      <c r="DV97" t="str">
        <f t="shared" si="234"/>
        <v>prd096</v>
      </c>
      <c r="DW97" t="str">
        <f t="shared" si="235"/>
        <v>+91-9123890123</v>
      </c>
      <c r="DX97" t="str">
        <f t="shared" si="236"/>
        <v>2025</v>
      </c>
      <c r="DY97" t="str">
        <f t="shared" si="237"/>
        <v>p</v>
      </c>
      <c r="DZ97" t="str">
        <f t="shared" si="238"/>
        <v>pushpaKUMAR@  DIFFUSION materials PRO  .com</v>
      </c>
      <c r="EA97" t="str">
        <f t="shared" si="239"/>
        <v/>
      </c>
      <c r="EB97" t="str">
        <f t="shared" si="240"/>
        <v>CORPORATE.IN</v>
      </c>
      <c r="EC97">
        <f t="shared" si="241"/>
        <v>28</v>
      </c>
      <c r="ED97" t="str">
        <f t="shared" si="242"/>
        <v>Ma96</v>
      </c>
      <c r="EE97" t="str">
        <f t="shared" si="243"/>
        <v>Mandvi- GUJARAT(370465)</v>
      </c>
      <c r="EF97" t="str">
        <f t="shared" si="244"/>
        <v>919123890123</v>
      </c>
      <c r="EG97" t="str">
        <f t="shared" si="245"/>
        <v>CUST-096</v>
      </c>
      <c r="EH97" t="str">
        <f t="shared" si="246"/>
        <v>public</v>
      </c>
      <c r="EI97" t="str">
        <f t="shared" si="247"/>
        <v>PRD-096-16Nov25</v>
      </c>
      <c r="EJ97" t="str">
        <f t="shared" si="248"/>
        <v>Corporate</v>
      </c>
    </row>
    <row r="98" spans="1:140" x14ac:dyDescent="0.3">
      <c r="A98" t="s">
        <v>1263</v>
      </c>
      <c r="B98" t="s">
        <v>1569</v>
      </c>
      <c r="C98" t="s">
        <v>1514</v>
      </c>
      <c r="D98" t="s">
        <v>1264</v>
      </c>
      <c r="E98" t="s">
        <v>1265</v>
      </c>
      <c r="F98" t="s">
        <v>1266</v>
      </c>
      <c r="G98" t="s">
        <v>1267</v>
      </c>
      <c r="H98" t="s">
        <v>1704</v>
      </c>
      <c r="I98" t="s">
        <v>1629</v>
      </c>
      <c r="J98">
        <v>385535</v>
      </c>
      <c r="K98" t="str">
        <f t="shared" si="138"/>
        <v>deesa, GUJARAT,385535</v>
      </c>
      <c r="L98" t="s">
        <v>1268</v>
      </c>
      <c r="M98" t="s">
        <v>1269</v>
      </c>
      <c r="N98" t="s">
        <v>1270</v>
      </c>
      <c r="O98" t="s">
        <v>78</v>
      </c>
      <c r="P98" t="s">
        <v>1271</v>
      </c>
      <c r="Q98" t="s">
        <v>1272</v>
      </c>
      <c r="R98" t="s">
        <v>1273</v>
      </c>
      <c r="S98" t="s">
        <v>1274</v>
      </c>
      <c r="T98" t="s">
        <v>1275</v>
      </c>
      <c r="U98" t="str">
        <f t="shared" si="129"/>
        <v>JATIN MISHRA</v>
      </c>
      <c r="V98" t="str">
        <f t="shared" si="130"/>
        <v>jatin.mishra@mail.in</v>
      </c>
      <c r="W98" t="str">
        <f t="shared" si="139"/>
        <v>Deesa</v>
      </c>
      <c r="X98" t="str">
        <f t="shared" si="131"/>
        <v>jatin mishra</v>
      </c>
      <c r="Y98" t="str">
        <f t="shared" si="140"/>
        <v>RETAIL</v>
      </c>
      <c r="Z98" t="str">
        <f t="shared" si="141"/>
        <v>c-stand world india</v>
      </c>
      <c r="AA98" t="str">
        <f t="shared" si="142"/>
        <v>Grip</v>
      </c>
      <c r="AB98" t="str">
        <f t="shared" si="132"/>
        <v>963 Highway</v>
      </c>
      <c r="AC98" t="str">
        <f t="shared" si="143"/>
        <v>DEPT-GRIP-097</v>
      </c>
      <c r="AD98" t="str">
        <f t="shared" si="144"/>
        <v>Kupo C-Stand 40 Inch</v>
      </c>
      <c r="AE98" t="str">
        <f t="shared" si="145"/>
        <v>www.stands.com</v>
      </c>
      <c r="AF98" t="str">
        <f t="shared" si="146"/>
        <v>Turtle base included</v>
      </c>
      <c r="AG98" t="str">
        <f t="shared" si="133"/>
        <v>CUST097</v>
      </c>
      <c r="AH98" t="str">
        <f t="shared" si="147"/>
        <v>PRD-CSTAND-097</v>
      </c>
      <c r="AI98" t="str">
        <f t="shared" si="134"/>
        <v>Jatin Mishra</v>
      </c>
      <c r="AJ98" t="str">
        <f t="shared" si="135"/>
        <v>(02763) 2468-135</v>
      </c>
      <c r="AK98" t="str">
        <f t="shared" si="148"/>
        <v>retail</v>
      </c>
      <c r="AL98" t="str">
        <f t="shared" si="149"/>
        <v>C-Stand World India</v>
      </c>
      <c r="AM98" t="str">
        <f t="shared" si="136"/>
        <v>jatin.mishra@mail.in</v>
      </c>
      <c r="AN98" t="str">
        <f t="shared" si="150"/>
        <v>GRIP</v>
      </c>
      <c r="AO98" t="str">
        <f t="shared" si="137"/>
        <v>CUST097-jatin mishra</v>
      </c>
      <c r="AP98" t="str">
        <f t="shared" si="151"/>
        <v>jatin mishra</v>
      </c>
      <c r="AQ98" t="str">
        <f t="shared" si="152"/>
        <v>deesa, GUJARAT</v>
      </c>
      <c r="AR98" t="str">
        <f t="shared" si="153"/>
        <v>prd-cstand-097:KUPO c-STAND 40 inch</v>
      </c>
      <c r="AS98" t="str">
        <f t="shared" si="154"/>
        <v>jatin.mishra@mail.in|(02763) 2468-135</v>
      </c>
      <c r="AT98" t="str">
        <f t="shared" si="155"/>
        <v>c-STAND world INDIA-Grip</v>
      </c>
      <c r="AU98" t="str">
        <f t="shared" si="156"/>
        <v>retail 23-Nov-2025</v>
      </c>
      <c r="AV98" t="str">
        <f t="shared" si="157"/>
        <v>963 Highway,deesa, GUJARAT,385535</v>
      </c>
      <c r="AW98" t="str">
        <f t="shared" si="158"/>
        <v>dept-grip-097_Grip</v>
      </c>
      <c r="AX98" t="str">
        <f t="shared" si="159"/>
        <v>Customer ID:CUST097</v>
      </c>
      <c r="AY98" t="str">
        <f t="shared" si="160"/>
        <v>Email:jatin.mishra@mail.in</v>
      </c>
      <c r="AZ98" t="str">
        <f t="shared" si="161"/>
        <v>WWW.STANDS.COM/contact</v>
      </c>
      <c r="BA98" t="str">
        <f t="shared" si="162"/>
        <v>Order Placed On 23-Nov-2025</v>
      </c>
      <c r="BB98" t="str">
        <f t="shared" si="163"/>
        <v>jatin mishra(retail)</v>
      </c>
      <c r="BC98" t="str">
        <f t="shared" si="164"/>
        <v>prd-cstand-097/KUPO c-STAND 40 inch</v>
      </c>
      <c r="BD98" t="str">
        <f t="shared" si="165"/>
        <v>call (02763) 2468-135</v>
      </c>
      <c r="BE98" t="str">
        <f t="shared" si="166"/>
        <v>c-STAND world INDIA-dept-grip-097</v>
      </c>
      <c r="BF98" t="str">
        <f t="shared" si="167"/>
        <v>CUST097-97</v>
      </c>
      <c r="BG98" t="str">
        <f t="shared" si="168"/>
        <v>Customer: jatin mishra,Type: retail</v>
      </c>
      <c r="BH98" t="str">
        <f t="shared" si="169"/>
        <v>deesa,india</v>
      </c>
      <c r="BI98" t="str">
        <f t="shared" si="170"/>
        <v>CUST</v>
      </c>
      <c r="BJ98" t="str">
        <f t="shared" si="171"/>
        <v>jatin.mish</v>
      </c>
      <c r="BK98" t="str">
        <f t="shared" si="172"/>
        <v xml:space="preserve">jatin </v>
      </c>
      <c r="BL98" t="str">
        <f t="shared" si="173"/>
        <v>prd-c</v>
      </c>
      <c r="BM98" t="str">
        <f t="shared" si="174"/>
        <v>ret</v>
      </c>
      <c r="BN98" t="str">
        <f t="shared" si="175"/>
        <v xml:space="preserve">(02763) </v>
      </c>
      <c r="BO98" t="str">
        <f t="shared" si="176"/>
        <v>mail.in</v>
      </c>
      <c r="BP98" t="str">
        <f t="shared" si="177"/>
        <v>deesa</v>
      </c>
      <c r="BQ98" t="str">
        <f t="shared" si="178"/>
        <v>T097</v>
      </c>
      <c r="BR98" t="str">
        <f t="shared" si="179"/>
        <v>ishra</v>
      </c>
      <c r="BS98" t="str">
        <f t="shared" si="180"/>
        <v>nd-097</v>
      </c>
      <c r="BU98" t="str">
        <f t="shared" si="181"/>
        <v>8-135</v>
      </c>
      <c r="BV98" t="str">
        <f t="shared" si="182"/>
        <v>385535</v>
      </c>
      <c r="BW98" t="str">
        <f t="shared" si="183"/>
        <v xml:space="preserve"> GUJARAT</v>
      </c>
      <c r="BX98" t="str">
        <f t="shared" si="184"/>
        <v>097</v>
      </c>
      <c r="BY98" t="str">
        <f t="shared" si="185"/>
        <v>grip</v>
      </c>
      <c r="BZ98" t="str">
        <f t="shared" si="186"/>
        <v>cstand</v>
      </c>
      <c r="CA98" t="str">
        <f t="shared" si="187"/>
        <v>Nov</v>
      </c>
      <c r="CB98" t="str">
        <f t="shared" si="188"/>
        <v>STAND</v>
      </c>
      <c r="CC98">
        <f t="shared" si="189"/>
        <v>13</v>
      </c>
      <c r="CD98">
        <f t="shared" si="190"/>
        <v>12</v>
      </c>
      <c r="CE98">
        <f t="shared" si="191"/>
        <v>20</v>
      </c>
      <c r="CF98">
        <f t="shared" si="192"/>
        <v>6</v>
      </c>
      <c r="CG98">
        <f t="shared" si="193"/>
        <v>20</v>
      </c>
      <c r="CH98">
        <f t="shared" si="194"/>
        <v>6</v>
      </c>
      <c r="CI98">
        <f t="shared" si="195"/>
        <v>7</v>
      </c>
      <c r="CJ98" t="str">
        <f t="shared" si="196"/>
        <v>Not found</v>
      </c>
      <c r="CK98">
        <f t="shared" si="197"/>
        <v>16</v>
      </c>
      <c r="CL98">
        <f t="shared" si="198"/>
        <v>4</v>
      </c>
      <c r="CM98">
        <f t="shared" si="199"/>
        <v>11</v>
      </c>
      <c r="CN98">
        <f t="shared" si="200"/>
        <v>6</v>
      </c>
      <c r="CO98">
        <f t="shared" si="201"/>
        <v>19</v>
      </c>
      <c r="CP98">
        <f t="shared" si="202"/>
        <v>11</v>
      </c>
      <c r="CQ98">
        <f t="shared" si="203"/>
        <v>13</v>
      </c>
      <c r="CR98" t="str">
        <f t="shared" si="204"/>
        <v>not found</v>
      </c>
      <c r="CS98">
        <f t="shared" si="205"/>
        <v>6</v>
      </c>
      <c r="CT98">
        <f t="shared" si="206"/>
        <v>11</v>
      </c>
      <c r="CU98">
        <f t="shared" si="207"/>
        <v>24</v>
      </c>
      <c r="CV98">
        <f t="shared" si="208"/>
        <v>3</v>
      </c>
      <c r="CW98" t="str">
        <f t="shared" si="209"/>
        <v>Customer ID097</v>
      </c>
      <c r="CX98" t="str">
        <f t="shared" si="210"/>
        <v>jatin.mishra[AT]mail.in</v>
      </c>
      <c r="CY98" t="str">
        <f t="shared" si="211"/>
        <v>Product-CSTAND-097</v>
      </c>
      <c r="CZ98" t="str">
        <f t="shared" si="212"/>
        <v>prd_cstand_097</v>
      </c>
      <c r="DA98" t="str">
        <f t="shared" si="213"/>
        <v>DEPARTMENT-GRIP-097</v>
      </c>
      <c r="DB98" t="str">
        <f t="shared" si="214"/>
        <v>JATIN.MISHRA@MAIL.IN</v>
      </c>
      <c r="DC98" t="str">
        <f t="shared" si="215"/>
        <v>https://www..STANDS.COM</v>
      </c>
      <c r="DD98" t="str">
        <f t="shared" si="216"/>
        <v>jatin/mishra</v>
      </c>
      <c r="DE98" t="str">
        <f t="shared" si="217"/>
        <v>RETAIL CUSTOMER</v>
      </c>
      <c r="DF98" t="str">
        <f t="shared" si="218"/>
        <v>deesa; GUJARAT;385535</v>
      </c>
      <c r="DG98" t="str">
        <f t="shared" si="219"/>
        <v>Grip</v>
      </c>
      <c r="DH98" t="str">
        <f t="shared" si="220"/>
        <v xml:space="preserve"> 02763  2468-135</v>
      </c>
      <c r="DI98" t="str">
        <f t="shared" si="221"/>
        <v>c-STAND world INDIA</v>
      </c>
      <c r="DJ98" t="str">
        <f t="shared" si="222"/>
        <v>WWW.STANDS.COM</v>
      </c>
      <c r="DK98" t="str">
        <f t="shared" si="223"/>
        <v>963  Highway</v>
      </c>
      <c r="DL98" t="str">
        <f t="shared" si="224"/>
        <v>jatin.mishra</v>
      </c>
      <c r="DM98" t="str">
        <f t="shared" si="225"/>
        <v>jatin.mishra@c-STAND world INDIA.com</v>
      </c>
      <c r="DN98" t="str">
        <f t="shared" si="226"/>
        <v>jatin</v>
      </c>
      <c r="DO98" t="str">
        <f t="shared" si="227"/>
        <v>mishra</v>
      </c>
      <c r="DP98" t="str">
        <f t="shared" si="228"/>
        <v>mishra,jatin</v>
      </c>
      <c r="DQ98" t="str">
        <f t="shared" si="229"/>
        <v>Name has12characters</v>
      </c>
      <c r="DR98" t="str">
        <f t="shared" si="230"/>
        <v>Check Domain</v>
      </c>
      <c r="DS98" t="str">
        <f t="shared" si="231"/>
        <v>(027</v>
      </c>
      <c r="DT98" t="str">
        <f t="shared" si="232"/>
        <v>CUS097</v>
      </c>
      <c r="DU98" t="str">
        <f t="shared" si="233"/>
        <v>jmishra</v>
      </c>
      <c r="DV98" t="str">
        <f t="shared" si="234"/>
        <v>prd097</v>
      </c>
      <c r="DW98" t="str">
        <f t="shared" si="235"/>
        <v>(02763) 2468-135</v>
      </c>
      <c r="DX98" t="str">
        <f t="shared" si="236"/>
        <v>2025</v>
      </c>
      <c r="DY98" t="str">
        <f t="shared" si="237"/>
        <v>j</v>
      </c>
      <c r="DZ98" t="str">
        <f t="shared" si="238"/>
        <v>jatinmishra@c-STAND world INDIA.com</v>
      </c>
      <c r="EA98" t="str">
        <f t="shared" si="239"/>
        <v>Retail</v>
      </c>
      <c r="EB98" t="str">
        <f t="shared" si="240"/>
        <v>mail.in</v>
      </c>
      <c r="EC98">
        <f t="shared" si="241"/>
        <v>20</v>
      </c>
      <c r="ED98" t="str">
        <f t="shared" si="242"/>
        <v>de97</v>
      </c>
      <c r="EE98" t="str">
        <f t="shared" si="243"/>
        <v>deesa- GUJARAT(385535)</v>
      </c>
      <c r="EF98" t="str">
        <f t="shared" si="244"/>
        <v>027632468135</v>
      </c>
      <c r="EG98" t="str">
        <f t="shared" si="245"/>
        <v>CUST-097</v>
      </c>
      <c r="EH98" t="str">
        <f t="shared" si="246"/>
        <v>public</v>
      </c>
      <c r="EI98" t="str">
        <f t="shared" si="247"/>
        <v>PRD-097-23Nov25</v>
      </c>
      <c r="EJ98" t="str">
        <f t="shared" si="248"/>
        <v>Retail</v>
      </c>
    </row>
    <row r="99" spans="1:140" x14ac:dyDescent="0.3">
      <c r="A99" t="s">
        <v>1276</v>
      </c>
      <c r="B99" t="s">
        <v>1570</v>
      </c>
      <c r="C99" t="s">
        <v>1479</v>
      </c>
      <c r="D99" t="s">
        <v>1277</v>
      </c>
      <c r="E99" t="s">
        <v>1278</v>
      </c>
      <c r="F99" t="s">
        <v>1279</v>
      </c>
      <c r="G99" t="s">
        <v>1280</v>
      </c>
      <c r="H99" t="s">
        <v>1705</v>
      </c>
      <c r="I99" t="s">
        <v>1594</v>
      </c>
      <c r="J99">
        <v>360410</v>
      </c>
      <c r="K99" t="str">
        <f t="shared" si="138"/>
        <v>DHORAJI, Gujarat,360410</v>
      </c>
      <c r="L99" t="s">
        <v>1281</v>
      </c>
      <c r="M99" t="s">
        <v>1282</v>
      </c>
      <c r="N99" t="s">
        <v>1283</v>
      </c>
      <c r="O99" t="s">
        <v>36</v>
      </c>
      <c r="P99" t="s">
        <v>1284</v>
      </c>
      <c r="Q99" t="s">
        <v>1285</v>
      </c>
      <c r="R99" t="s">
        <v>1286</v>
      </c>
      <c r="S99" t="s">
        <v>1287</v>
      </c>
      <c r="T99" t="s">
        <v>1288</v>
      </c>
      <c r="U99" t="str">
        <f t="shared" si="129"/>
        <v xml:space="preserve">  LALITA SINGH</v>
      </c>
      <c r="V99" t="str">
        <f t="shared" si="130"/>
        <v>lalita_singh@email.in</v>
      </c>
      <c r="W99" t="str">
        <f t="shared" si="139"/>
        <v>Dhoraji</v>
      </c>
      <c r="X99" t="str">
        <f t="shared" si="131"/>
        <v>LALITA singh</v>
      </c>
      <c r="Y99" t="str">
        <f t="shared" si="140"/>
        <v>WHOLESALE</v>
      </c>
      <c r="Z99" t="str">
        <f t="shared" si="141"/>
        <v>sandbag solutions cinema</v>
      </c>
      <c r="AA99" t="str">
        <f t="shared" si="142"/>
        <v>Set Assistant</v>
      </c>
      <c r="AB99" t="str">
        <f t="shared" si="132"/>
        <v>147 Main Street</v>
      </c>
      <c r="AC99" t="str">
        <f t="shared" si="143"/>
        <v>DEPT-SET-098</v>
      </c>
      <c r="AD99" t="str">
        <f t="shared" si="144"/>
        <v>Shot Bag Sand Bag 25Lb</v>
      </c>
      <c r="AE99" t="str">
        <f t="shared" si="145"/>
        <v>www.sandbags.in</v>
      </c>
      <c r="AF99" t="str">
        <f t="shared" si="146"/>
        <v>Empty bag, fillable</v>
      </c>
      <c r="AG99" t="str">
        <f t="shared" si="133"/>
        <v>CUST098</v>
      </c>
      <c r="AH99" t="str">
        <f t="shared" si="147"/>
        <v>PRD-SAND-098</v>
      </c>
      <c r="AI99" t="str">
        <f t="shared" si="134"/>
        <v xml:space="preserve">  Lalita Singh</v>
      </c>
      <c r="AJ99" t="str">
        <f t="shared" si="135"/>
        <v>02821-34567</v>
      </c>
      <c r="AK99" t="str">
        <f t="shared" si="148"/>
        <v>wholesale</v>
      </c>
      <c r="AL99" t="str">
        <f t="shared" si="149"/>
        <v>Sandbag Solutions Cinema</v>
      </c>
      <c r="AM99" t="str">
        <f t="shared" si="136"/>
        <v>lalita_singh@email.in</v>
      </c>
      <c r="AN99" t="str">
        <f t="shared" si="150"/>
        <v>SET ASSISTANT</v>
      </c>
      <c r="AO99" t="str">
        <f t="shared" si="137"/>
        <v>cust098-  LALITA singh</v>
      </c>
      <c r="AP99" t="str">
        <f t="shared" si="151"/>
        <v>LALITA singh</v>
      </c>
      <c r="AQ99" t="str">
        <f t="shared" si="152"/>
        <v>DHORAJI, Gujarat</v>
      </c>
      <c r="AR99" t="str">
        <f t="shared" si="153"/>
        <v>PRD-SAND-098:SHOT BAG sand BAG 25lb</v>
      </c>
      <c r="AS99" t="str">
        <f t="shared" si="154"/>
        <v>lalita_singh@email.in|02821-34567</v>
      </c>
      <c r="AT99" t="str">
        <f t="shared" si="155"/>
        <v>SANDBAG solutions cinema-Set Assistant</v>
      </c>
      <c r="AU99" t="str">
        <f t="shared" si="156"/>
        <v>wholesale 30-Nov-2025</v>
      </c>
      <c r="AV99" t="str">
        <f t="shared" si="157"/>
        <v xml:space="preserve">  147 Main Street  ,DHORAJI, Gujarat,360410</v>
      </c>
      <c r="AW99" t="str">
        <f t="shared" si="158"/>
        <v>DEPT-SET-098_Set Assistant</v>
      </c>
      <c r="AX99" t="str">
        <f t="shared" si="159"/>
        <v>Customer ID:cust098</v>
      </c>
      <c r="AY99" t="str">
        <f t="shared" si="160"/>
        <v>Email:lalita_singh@email.in</v>
      </c>
      <c r="AZ99" t="str">
        <f t="shared" si="161"/>
        <v>www.sandbags.in/contact</v>
      </c>
      <c r="BA99" t="str">
        <f t="shared" si="162"/>
        <v>Order Placed On 30-Nov-2025</v>
      </c>
      <c r="BB99" t="str">
        <f t="shared" si="163"/>
        <v xml:space="preserve">  LALITA singh(wholesale)</v>
      </c>
      <c r="BC99" t="str">
        <f t="shared" si="164"/>
        <v>PRD-SAND-098/SHOT BAG sand BAG 25lb</v>
      </c>
      <c r="BD99" t="str">
        <f t="shared" si="165"/>
        <v>call 02821-34567</v>
      </c>
      <c r="BE99" t="str">
        <f t="shared" si="166"/>
        <v>SANDBAG solutions cinema-DEPT-SET-098</v>
      </c>
      <c r="BF99" t="str">
        <f t="shared" si="167"/>
        <v>cust098-98</v>
      </c>
      <c r="BG99" t="str">
        <f t="shared" si="168"/>
        <v>Customer:   LALITA singh,Type: wholesale</v>
      </c>
      <c r="BH99" t="str">
        <f t="shared" si="169"/>
        <v>DHORAJI,india</v>
      </c>
      <c r="BI99" t="str">
        <f t="shared" si="170"/>
        <v>cust</v>
      </c>
      <c r="BJ99" t="str">
        <f t="shared" si="171"/>
        <v>lalita_sin</v>
      </c>
      <c r="BK99" t="str">
        <f t="shared" si="172"/>
        <v xml:space="preserve">LALITA </v>
      </c>
      <c r="BL99" t="str">
        <f t="shared" si="173"/>
        <v>PRD-S</v>
      </c>
      <c r="BM99" t="str">
        <f t="shared" si="174"/>
        <v>who</v>
      </c>
      <c r="BN99" t="str">
        <f t="shared" si="175"/>
        <v>02821-34</v>
      </c>
      <c r="BO99" t="str">
        <f t="shared" si="176"/>
        <v>email.in</v>
      </c>
      <c r="BP99" t="str">
        <f t="shared" si="177"/>
        <v>DHORAJI</v>
      </c>
      <c r="BQ99" t="str">
        <f t="shared" si="178"/>
        <v>t098</v>
      </c>
      <c r="BR99" t="str">
        <f t="shared" si="179"/>
        <v xml:space="preserve"> singh</v>
      </c>
      <c r="BS99" t="str">
        <f t="shared" si="180"/>
        <v>ND-098</v>
      </c>
      <c r="BU99" t="str">
        <f t="shared" si="181"/>
        <v>34567</v>
      </c>
      <c r="BV99" t="str">
        <f t="shared" si="182"/>
        <v>360410</v>
      </c>
      <c r="BW99" t="str">
        <f t="shared" si="183"/>
        <v xml:space="preserve"> Gujarat</v>
      </c>
      <c r="BX99" t="str">
        <f t="shared" si="184"/>
        <v>098</v>
      </c>
      <c r="BY99" t="str">
        <f t="shared" si="185"/>
        <v>SET</v>
      </c>
      <c r="BZ99" t="str">
        <f t="shared" si="186"/>
        <v>SAND</v>
      </c>
      <c r="CA99" t="str">
        <f t="shared" si="187"/>
        <v>Nov</v>
      </c>
      <c r="CB99" t="str">
        <f t="shared" si="188"/>
        <v>NDBAG</v>
      </c>
      <c r="CC99">
        <f t="shared" si="189"/>
        <v>13</v>
      </c>
      <c r="CD99">
        <f t="shared" si="190"/>
        <v>14</v>
      </c>
      <c r="CE99">
        <f t="shared" si="191"/>
        <v>21</v>
      </c>
      <c r="CF99">
        <f t="shared" si="192"/>
        <v>1</v>
      </c>
      <c r="CG99">
        <f t="shared" si="193"/>
        <v>22</v>
      </c>
      <c r="CH99">
        <f t="shared" si="194"/>
        <v>8</v>
      </c>
      <c r="CI99">
        <f t="shared" si="195"/>
        <v>7</v>
      </c>
      <c r="CJ99">
        <f t="shared" si="196"/>
        <v>1</v>
      </c>
      <c r="CK99">
        <f t="shared" si="197"/>
        <v>11</v>
      </c>
      <c r="CL99">
        <f t="shared" si="198"/>
        <v>4</v>
      </c>
      <c r="CM99">
        <f t="shared" si="199"/>
        <v>19</v>
      </c>
      <c r="CN99">
        <f t="shared" si="200"/>
        <v>19</v>
      </c>
      <c r="CO99">
        <f t="shared" si="201"/>
        <v>24</v>
      </c>
      <c r="CP99">
        <f t="shared" si="202"/>
        <v>9</v>
      </c>
      <c r="CQ99">
        <f t="shared" si="203"/>
        <v>12</v>
      </c>
      <c r="CR99" t="str">
        <f t="shared" si="204"/>
        <v>not found</v>
      </c>
      <c r="CS99">
        <f t="shared" si="205"/>
        <v>9</v>
      </c>
      <c r="CT99">
        <f t="shared" si="206"/>
        <v>9</v>
      </c>
      <c r="CU99">
        <f t="shared" si="207"/>
        <v>19</v>
      </c>
      <c r="CV99">
        <f t="shared" si="208"/>
        <v>3</v>
      </c>
      <c r="CW99" t="str">
        <f t="shared" si="209"/>
        <v>Customer ID098</v>
      </c>
      <c r="CX99" t="str">
        <f t="shared" si="210"/>
        <v>lalita_singh[AT]email.in</v>
      </c>
      <c r="CY99" t="str">
        <f t="shared" si="211"/>
        <v>Product-SAND-098</v>
      </c>
      <c r="CZ99" t="str">
        <f t="shared" si="212"/>
        <v>PRD_SAND_098</v>
      </c>
      <c r="DA99" t="str">
        <f t="shared" si="213"/>
        <v>DEPARTMENT-SET-098</v>
      </c>
      <c r="DB99" t="str">
        <f t="shared" si="214"/>
        <v>LALITA_SINGH@EMAIL.IN</v>
      </c>
      <c r="DC99" t="str">
        <f t="shared" si="215"/>
        <v>https://www..SANDBAGS.IN</v>
      </c>
      <c r="DD99" t="str">
        <f t="shared" si="216"/>
        <v>//LALITA/singh</v>
      </c>
      <c r="DE99" t="str">
        <f t="shared" si="217"/>
        <v>wholesale</v>
      </c>
      <c r="DF99" t="str">
        <f t="shared" si="218"/>
        <v>DHORAJI; Gujarat;360410</v>
      </c>
      <c r="DG99" t="str">
        <f t="shared" si="219"/>
        <v>Set Assistant</v>
      </c>
      <c r="DH99" t="str">
        <f t="shared" si="220"/>
        <v>02821-34567</v>
      </c>
      <c r="DI99" t="str">
        <f t="shared" si="221"/>
        <v>SANDBAG solutions cinema</v>
      </c>
      <c r="DJ99" t="str">
        <f t="shared" si="222"/>
        <v>www.sandbags.in</v>
      </c>
      <c r="DK99" t="str">
        <f t="shared" si="223"/>
        <v xml:space="preserve">    147  Main  Street    </v>
      </c>
      <c r="DL99" t="str">
        <f t="shared" si="224"/>
        <v>lalita_singh</v>
      </c>
      <c r="DM99" t="str">
        <f t="shared" si="225"/>
        <v>LALITA.singh@SANDBAG solutions cinema.com</v>
      </c>
      <c r="DN99" t="str">
        <f t="shared" si="226"/>
        <v>LALITA</v>
      </c>
      <c r="DO99" t="str">
        <f t="shared" si="227"/>
        <v>singh</v>
      </c>
      <c r="DP99" t="str">
        <f t="shared" si="228"/>
        <v>singh,LALITA</v>
      </c>
      <c r="DQ99" t="str">
        <f t="shared" si="229"/>
        <v>Name has12characters</v>
      </c>
      <c r="DR99" t="str">
        <f t="shared" si="230"/>
        <v>Check Domain</v>
      </c>
      <c r="DS99" t="str">
        <f t="shared" si="231"/>
        <v>0282</v>
      </c>
      <c r="DT99" t="str">
        <f t="shared" si="232"/>
        <v>cus098</v>
      </c>
      <c r="DU99" t="str">
        <f t="shared" si="233"/>
        <v>Lsingh</v>
      </c>
      <c r="DV99" t="str">
        <f t="shared" si="234"/>
        <v>PRD098</v>
      </c>
      <c r="DW99" t="str">
        <f t="shared" si="235"/>
        <v>02821-34567</v>
      </c>
      <c r="DX99" t="str">
        <f t="shared" si="236"/>
        <v>2025</v>
      </c>
      <c r="DY99" t="str">
        <f t="shared" si="237"/>
        <v>L</v>
      </c>
      <c r="DZ99" t="str">
        <f t="shared" si="238"/>
        <v>LALITAsingh@SANDBAG solutions cinema.com</v>
      </c>
      <c r="EA99" t="str">
        <f t="shared" si="239"/>
        <v>Wholesale</v>
      </c>
      <c r="EB99" t="str">
        <f t="shared" si="240"/>
        <v>email.in</v>
      </c>
      <c r="EC99">
        <f t="shared" si="241"/>
        <v>22</v>
      </c>
      <c r="ED99" t="str">
        <f t="shared" si="242"/>
        <v>DH98</v>
      </c>
      <c r="EE99" t="str">
        <f t="shared" si="243"/>
        <v>DHORAJI- Gujarat(360410)</v>
      </c>
      <c r="EF99" t="str">
        <f t="shared" si="244"/>
        <v>0282134567</v>
      </c>
      <c r="EG99" t="str">
        <f t="shared" si="245"/>
        <v>CUST-098</v>
      </c>
      <c r="EH99" t="str">
        <f t="shared" si="246"/>
        <v>public</v>
      </c>
      <c r="EI99" t="str">
        <f t="shared" si="247"/>
        <v>PRD-098-30Nov25</v>
      </c>
      <c r="EJ99" t="str">
        <f t="shared" si="248"/>
        <v>Wholesale</v>
      </c>
    </row>
    <row r="100" spans="1:140" x14ac:dyDescent="0.3">
      <c r="A100" t="s">
        <v>1289</v>
      </c>
      <c r="B100" t="s">
        <v>1571</v>
      </c>
      <c r="C100" t="s">
        <v>1483</v>
      </c>
      <c r="D100" t="s">
        <v>1290</v>
      </c>
      <c r="E100" t="s">
        <v>1291</v>
      </c>
      <c r="F100" t="s">
        <v>1292</v>
      </c>
      <c r="G100" t="s">
        <v>1293</v>
      </c>
      <c r="H100" t="s">
        <v>1706</v>
      </c>
      <c r="I100" t="s">
        <v>1629</v>
      </c>
      <c r="J100">
        <v>360490</v>
      </c>
      <c r="K100" t="str">
        <f t="shared" si="138"/>
        <v>Upleta, GUJARAT,360490</v>
      </c>
      <c r="L100" t="s">
        <v>1294</v>
      </c>
      <c r="M100" t="s">
        <v>1295</v>
      </c>
      <c r="N100" t="s">
        <v>1296</v>
      </c>
      <c r="O100" t="s">
        <v>132</v>
      </c>
      <c r="P100" t="s">
        <v>1297</v>
      </c>
      <c r="Q100" t="s">
        <v>1298</v>
      </c>
      <c r="R100" t="s">
        <v>1299</v>
      </c>
      <c r="S100" t="s">
        <v>1300</v>
      </c>
      <c r="T100" t="s">
        <v>1301</v>
      </c>
      <c r="U100" t="str">
        <f t="shared" si="129"/>
        <v xml:space="preserve">PRAMOD TIWARI  </v>
      </c>
      <c r="V100" t="str">
        <f t="shared" si="130"/>
        <v>pramod.tiwari@company.com</v>
      </c>
      <c r="W100" t="str">
        <f t="shared" si="139"/>
        <v>Upleta</v>
      </c>
      <c r="X100" t="str">
        <f t="shared" si="131"/>
        <v>pramod TIWARI</v>
      </c>
      <c r="Y100" t="str">
        <f t="shared" si="140"/>
        <v>CORPORATE</v>
      </c>
      <c r="Z100" t="str">
        <f t="shared" si="141"/>
        <v xml:space="preserve">  apple box pro  </v>
      </c>
      <c r="AA100" t="str">
        <f t="shared" si="142"/>
        <v>Key Grip</v>
      </c>
      <c r="AB100" t="str">
        <f t="shared" si="132"/>
        <v>258 Station Road</v>
      </c>
      <c r="AC100" t="str">
        <f t="shared" si="143"/>
        <v>DEPT-GRIP-099</v>
      </c>
      <c r="AD100" t="str">
        <f t="shared" si="144"/>
        <v>Apple Box Full Pancake</v>
      </c>
      <c r="AE100" t="str">
        <f t="shared" si="145"/>
        <v>https://applebox.in</v>
      </c>
      <c r="AF100" t="str">
        <f t="shared" si="146"/>
        <v>Set of 4 boxes</v>
      </c>
      <c r="AG100" t="str">
        <f t="shared" si="133"/>
        <v>CUST099</v>
      </c>
      <c r="AH100" t="str">
        <f t="shared" si="147"/>
        <v>PRD-APPLE-099</v>
      </c>
      <c r="AI100" t="str">
        <f t="shared" si="134"/>
        <v xml:space="preserve">Pramod Tiwari  </v>
      </c>
      <c r="AJ100" t="str">
        <f t="shared" si="135"/>
        <v>+91-9988789012</v>
      </c>
      <c r="AK100" t="str">
        <f t="shared" si="148"/>
        <v>corporate</v>
      </c>
      <c r="AL100" t="str">
        <f t="shared" si="149"/>
        <v>Apple Box Pro</v>
      </c>
      <c r="AM100" t="str">
        <f t="shared" si="136"/>
        <v>pramod.tiwari@company.com</v>
      </c>
      <c r="AN100" t="str">
        <f t="shared" si="150"/>
        <v>KEY GRIP</v>
      </c>
      <c r="AO100" t="str">
        <f t="shared" si="137"/>
        <v xml:space="preserve">Cust099-pramod TIWARI  </v>
      </c>
      <c r="AP100" t="str">
        <f t="shared" si="151"/>
        <v>pramod TIWARI</v>
      </c>
      <c r="AQ100" t="str">
        <f t="shared" si="152"/>
        <v>Upleta, GUJARAT</v>
      </c>
      <c r="AR100" t="str">
        <f t="shared" si="153"/>
        <v>prd-apple-099:APPLE box FULL pancake</v>
      </c>
      <c r="AS100" t="str">
        <f t="shared" si="154"/>
        <v>PRAMOD.TIWARI@COMPANY.COM|+91-9988789012</v>
      </c>
      <c r="AT100" t="str">
        <f t="shared" si="155"/>
        <v xml:space="preserve">  APPLE box PRO  -KEY GRIP</v>
      </c>
      <c r="AU100" t="str">
        <f t="shared" si="156"/>
        <v>Corporate 07-Dec-2025</v>
      </c>
      <c r="AV100" t="str">
        <f t="shared" si="157"/>
        <v>258 Station Road,Upleta, GUJARAT,360490</v>
      </c>
      <c r="AW100" t="str">
        <f t="shared" si="158"/>
        <v>dept-grip-099_KEY GRIP</v>
      </c>
      <c r="AX100" t="str">
        <f t="shared" si="159"/>
        <v>Customer ID:Cust099</v>
      </c>
      <c r="AY100" t="str">
        <f t="shared" si="160"/>
        <v>Email:PRAMOD.TIWARI@COMPANY.COM</v>
      </c>
      <c r="AZ100" t="str">
        <f t="shared" si="161"/>
        <v>https://applebox.in/contact</v>
      </c>
      <c r="BA100" t="str">
        <f t="shared" si="162"/>
        <v>Order Placed On 07-Dec-2025</v>
      </c>
      <c r="BB100" t="str">
        <f t="shared" si="163"/>
        <v>pramod TIWARI  (Corporate)</v>
      </c>
      <c r="BC100" t="str">
        <f t="shared" si="164"/>
        <v>prd-apple-099/APPLE box FULL pancake</v>
      </c>
      <c r="BD100" t="str">
        <f t="shared" si="165"/>
        <v>call +91-9988789012</v>
      </c>
      <c r="BE100" t="str">
        <f t="shared" si="166"/>
        <v xml:space="preserve">  APPLE box PRO  -dept-grip-099</v>
      </c>
      <c r="BF100" t="str">
        <f t="shared" si="167"/>
        <v>Cust099-99</v>
      </c>
      <c r="BG100" t="str">
        <f t="shared" si="168"/>
        <v>Customer: pramod TIWARI  ,Type: Corporate</v>
      </c>
      <c r="BH100" t="str">
        <f t="shared" si="169"/>
        <v>Upleta,india</v>
      </c>
      <c r="BI100" t="str">
        <f t="shared" si="170"/>
        <v>Cust</v>
      </c>
      <c r="BJ100" t="str">
        <f t="shared" si="171"/>
        <v>PRAMOD.TIW</v>
      </c>
      <c r="BK100" t="str">
        <f t="shared" si="172"/>
        <v xml:space="preserve">pramod </v>
      </c>
      <c r="BL100" t="str">
        <f t="shared" si="173"/>
        <v>prd-a</v>
      </c>
      <c r="BM100" t="str">
        <f t="shared" si="174"/>
        <v>Cor</v>
      </c>
      <c r="BN100" t="str">
        <f t="shared" si="175"/>
        <v>+91-9988</v>
      </c>
      <c r="BO100" t="str">
        <f t="shared" si="176"/>
        <v>COMPANY.COM</v>
      </c>
      <c r="BP100" t="str">
        <f t="shared" si="177"/>
        <v>Upleta</v>
      </c>
      <c r="BQ100" t="str">
        <f t="shared" si="178"/>
        <v>t099</v>
      </c>
      <c r="BR100" t="str">
        <f t="shared" si="179"/>
        <v>TIWARI</v>
      </c>
      <c r="BS100" t="str">
        <f t="shared" si="180"/>
        <v>le-099</v>
      </c>
      <c r="BU100" t="str">
        <f t="shared" si="181"/>
        <v>89012</v>
      </c>
      <c r="BV100" t="str">
        <f t="shared" si="182"/>
        <v>360490</v>
      </c>
      <c r="BW100" t="str">
        <f t="shared" si="183"/>
        <v xml:space="preserve"> GUJARAT</v>
      </c>
      <c r="BX100" t="str">
        <f t="shared" si="184"/>
        <v>099</v>
      </c>
      <c r="BY100" t="str">
        <f t="shared" si="185"/>
        <v>grip</v>
      </c>
      <c r="BZ100" t="str">
        <f t="shared" si="186"/>
        <v>apple</v>
      </c>
      <c r="CA100" t="str">
        <f t="shared" si="187"/>
        <v>Dec</v>
      </c>
      <c r="CB100" t="str">
        <f t="shared" si="188"/>
        <v>APPLE</v>
      </c>
      <c r="CC100">
        <f t="shared" si="189"/>
        <v>14</v>
      </c>
      <c r="CD100">
        <f t="shared" si="190"/>
        <v>15</v>
      </c>
      <c r="CE100">
        <f t="shared" si="191"/>
        <v>25</v>
      </c>
      <c r="CF100">
        <f t="shared" si="192"/>
        <v>7</v>
      </c>
      <c r="CG100">
        <f t="shared" si="193"/>
        <v>22</v>
      </c>
      <c r="CH100">
        <f t="shared" si="194"/>
        <v>7</v>
      </c>
      <c r="CI100">
        <f t="shared" si="195"/>
        <v>7</v>
      </c>
      <c r="CJ100" t="str">
        <f t="shared" si="196"/>
        <v>Not found</v>
      </c>
      <c r="CK100">
        <f t="shared" si="197"/>
        <v>14</v>
      </c>
      <c r="CL100">
        <f t="shared" si="198"/>
        <v>4</v>
      </c>
      <c r="CM100">
        <f t="shared" si="199"/>
        <v>16</v>
      </c>
      <c r="CN100">
        <f t="shared" si="200"/>
        <v>7</v>
      </c>
      <c r="CO100">
        <f t="shared" si="201"/>
        <v>13</v>
      </c>
      <c r="CP100">
        <f t="shared" si="202"/>
        <v>10</v>
      </c>
      <c r="CQ100">
        <f t="shared" si="203"/>
        <v>13</v>
      </c>
      <c r="CR100">
        <f t="shared" si="204"/>
        <v>7</v>
      </c>
      <c r="CS100">
        <f t="shared" si="205"/>
        <v>9</v>
      </c>
      <c r="CT100">
        <f t="shared" si="206"/>
        <v>10</v>
      </c>
      <c r="CU100">
        <f t="shared" si="207"/>
        <v>14</v>
      </c>
      <c r="CV100">
        <f t="shared" si="208"/>
        <v>3</v>
      </c>
      <c r="CW100" t="str">
        <f t="shared" si="209"/>
        <v>Customer ID099</v>
      </c>
      <c r="CX100" t="str">
        <f t="shared" si="210"/>
        <v>PRAMOD.TIWARI[AT]COMPANY.COM</v>
      </c>
      <c r="CY100" t="str">
        <f t="shared" si="211"/>
        <v>Product-APPLE-099</v>
      </c>
      <c r="CZ100" t="str">
        <f t="shared" si="212"/>
        <v>prd_apple_099</v>
      </c>
      <c r="DA100" t="str">
        <f t="shared" si="213"/>
        <v>DEPARTMENT-GRIP-099</v>
      </c>
      <c r="DB100" t="str">
        <f t="shared" si="214"/>
        <v>PRAMOD.TIWARI@COMPANY.in</v>
      </c>
      <c r="DC100" t="str">
        <f t="shared" si="215"/>
        <v>HTTPS://APPLEBOX.IN</v>
      </c>
      <c r="DD100" t="str">
        <f t="shared" si="216"/>
        <v>pramod/TIWARI//</v>
      </c>
      <c r="DE100" t="str">
        <f t="shared" si="217"/>
        <v>Corporate</v>
      </c>
      <c r="DF100" t="str">
        <f t="shared" si="218"/>
        <v>Upleta; GUJARAT;360490</v>
      </c>
      <c r="DG100" t="str">
        <f t="shared" si="219"/>
        <v>KEY GRIP</v>
      </c>
      <c r="DH100" t="str">
        <f t="shared" si="220"/>
        <v>+91-9988789012</v>
      </c>
      <c r="DI100" t="str">
        <f t="shared" si="221"/>
        <v xml:space="preserve">  APPLE box PRO  </v>
      </c>
      <c r="DJ100" t="str">
        <f t="shared" si="222"/>
        <v>https:://applebox.in</v>
      </c>
      <c r="DK100" t="str">
        <f t="shared" si="223"/>
        <v>258  Station  Road</v>
      </c>
      <c r="DL100" t="str">
        <f t="shared" si="224"/>
        <v>PRAMOD.TIWARI</v>
      </c>
      <c r="DM100" t="str">
        <f t="shared" si="225"/>
        <v>pramod.TIWARI@  APPLE box PRO  .com</v>
      </c>
      <c r="DN100" t="str">
        <f t="shared" si="226"/>
        <v>pramod</v>
      </c>
      <c r="DO100" t="str">
        <f t="shared" si="227"/>
        <v>TIWARI</v>
      </c>
      <c r="DP100" t="str">
        <f t="shared" si="228"/>
        <v>TIWARI,pramod</v>
      </c>
      <c r="DQ100" t="str">
        <f t="shared" si="229"/>
        <v>Name has13characters</v>
      </c>
      <c r="DR100" t="str">
        <f t="shared" si="230"/>
        <v>Valid</v>
      </c>
      <c r="DS100" t="str">
        <f t="shared" si="231"/>
        <v>+91-</v>
      </c>
      <c r="DT100" t="str">
        <f t="shared" si="232"/>
        <v>Cus099</v>
      </c>
      <c r="DU100" t="str">
        <f t="shared" si="233"/>
        <v>ptiwari</v>
      </c>
      <c r="DV100" t="str">
        <f t="shared" si="234"/>
        <v>prd099</v>
      </c>
      <c r="DW100" t="str">
        <f t="shared" si="235"/>
        <v>+91-9988789012</v>
      </c>
      <c r="DX100" t="str">
        <f t="shared" si="236"/>
        <v>2025</v>
      </c>
      <c r="DY100" t="str">
        <f t="shared" si="237"/>
        <v>p</v>
      </c>
      <c r="DZ100" t="str">
        <f t="shared" si="238"/>
        <v>pramodTIWARI@  APPLE box PRO  .com</v>
      </c>
      <c r="EA100" t="str">
        <f t="shared" si="239"/>
        <v/>
      </c>
      <c r="EB100" t="str">
        <f t="shared" si="240"/>
        <v>COMPANY.COM</v>
      </c>
      <c r="EC100">
        <f t="shared" si="241"/>
        <v>22</v>
      </c>
      <c r="ED100" t="str">
        <f t="shared" si="242"/>
        <v>Up99</v>
      </c>
      <c r="EE100" t="str">
        <f t="shared" si="243"/>
        <v>Upleta- GUJARAT(360490)</v>
      </c>
      <c r="EF100" t="str">
        <f t="shared" si="244"/>
        <v>919988789012</v>
      </c>
      <c r="EG100" t="str">
        <f t="shared" si="245"/>
        <v>CUST-099</v>
      </c>
      <c r="EH100" t="str">
        <f t="shared" si="246"/>
        <v>public</v>
      </c>
      <c r="EI100" t="str">
        <f t="shared" si="247"/>
        <v>PRD-099-07Dec25</v>
      </c>
      <c r="EJ100" t="str">
        <f t="shared" si="248"/>
        <v>Corporate</v>
      </c>
    </row>
    <row r="101" spans="1:140" x14ac:dyDescent="0.3">
      <c r="A101" t="s">
        <v>1302</v>
      </c>
      <c r="B101" t="s">
        <v>1572</v>
      </c>
      <c r="C101" t="s">
        <v>1454</v>
      </c>
      <c r="D101" t="s">
        <v>1303</v>
      </c>
      <c r="E101" t="s">
        <v>1304</v>
      </c>
      <c r="F101" t="s">
        <v>1305</v>
      </c>
      <c r="G101" t="s">
        <v>1306</v>
      </c>
      <c r="H101" t="s">
        <v>1707</v>
      </c>
      <c r="I101" t="s">
        <v>1629</v>
      </c>
      <c r="J101">
        <v>362560</v>
      </c>
      <c r="K101" t="str">
        <f t="shared" si="138"/>
        <v>Una, GUJARAT,362560</v>
      </c>
      <c r="L101" t="s">
        <v>1307</v>
      </c>
      <c r="M101" t="s">
        <v>1308</v>
      </c>
      <c r="N101" t="s">
        <v>1309</v>
      </c>
      <c r="O101" t="s">
        <v>78</v>
      </c>
      <c r="P101" t="s">
        <v>1310</v>
      </c>
      <c r="Q101" t="s">
        <v>1311</v>
      </c>
      <c r="R101" t="s">
        <v>1312</v>
      </c>
      <c r="S101" t="s">
        <v>1313</v>
      </c>
      <c r="T101" t="s">
        <v>1314</v>
      </c>
      <c r="U101" t="str">
        <f t="shared" si="129"/>
        <v xml:space="preserve">RADHA PILLAI  </v>
      </c>
      <c r="V101" t="str">
        <f t="shared" si="130"/>
        <v>radha.pillai@corporate.in</v>
      </c>
      <c r="W101" t="str">
        <f t="shared" si="139"/>
        <v>Una</v>
      </c>
      <c r="X101" t="str">
        <f t="shared" si="131"/>
        <v>radha PILLAI</v>
      </c>
      <c r="Y101" t="str">
        <f t="shared" si="140"/>
        <v>RETAIL</v>
      </c>
      <c r="Z101" t="str">
        <f t="shared" si="141"/>
        <v>gaffer tape world</v>
      </c>
      <c r="AA101" t="str">
        <f t="shared" si="142"/>
        <v>Production Assistant</v>
      </c>
      <c r="AB101" t="str">
        <f t="shared" si="132"/>
        <v>369 Highway Road</v>
      </c>
      <c r="AC101" t="str">
        <f t="shared" si="143"/>
        <v>DEPT-PROD-100</v>
      </c>
      <c r="AD101" t="str">
        <f t="shared" si="144"/>
        <v>Gaffer Tape 2 Inch Black</v>
      </c>
      <c r="AE101" t="str">
        <f t="shared" si="145"/>
        <v>www.tape.com</v>
      </c>
      <c r="AF101" t="str">
        <f t="shared" si="146"/>
        <v>Residue-free removal</v>
      </c>
      <c r="AG101" t="str">
        <f t="shared" si="133"/>
        <v>CUST100</v>
      </c>
      <c r="AH101" t="str">
        <f t="shared" si="147"/>
        <v>PRD-TAPE-100</v>
      </c>
      <c r="AI101" t="str">
        <f t="shared" si="134"/>
        <v xml:space="preserve">Radha Pillai  </v>
      </c>
      <c r="AJ101" t="str">
        <f t="shared" si="135"/>
        <v>(02678) 9876-5432</v>
      </c>
      <c r="AK101" t="str">
        <f t="shared" si="148"/>
        <v>retail</v>
      </c>
      <c r="AL101" t="str">
        <f t="shared" si="149"/>
        <v>Gaffer Tape World</v>
      </c>
      <c r="AM101" t="str">
        <f t="shared" si="136"/>
        <v>radha.pillai@corporate.in</v>
      </c>
      <c r="AN101" t="str">
        <f t="shared" si="150"/>
        <v>PRODUCTION ASSISTANT</v>
      </c>
      <c r="AO101" t="str">
        <f t="shared" si="137"/>
        <v xml:space="preserve">Cust100-radha PILLAI  </v>
      </c>
      <c r="AP101" t="str">
        <f t="shared" si="151"/>
        <v>radha PILLAI</v>
      </c>
      <c r="AQ101" t="str">
        <f t="shared" si="152"/>
        <v>Una, GUJARAT</v>
      </c>
      <c r="AR101" t="str">
        <f t="shared" si="153"/>
        <v>prd-tape-100:GAFFER tape 2 INCH black</v>
      </c>
      <c r="AS101" t="str">
        <f t="shared" si="154"/>
        <v>RADHA.PILLAI@CORPORATE.IN|(02678) 9876-5432</v>
      </c>
      <c r="AT101" t="str">
        <f t="shared" si="155"/>
        <v>gaffer TAPE world-Production Assistant</v>
      </c>
      <c r="AU101" t="str">
        <f t="shared" si="156"/>
        <v>retail 14-Dec-2025</v>
      </c>
      <c r="AV101" t="str">
        <f t="shared" si="157"/>
        <v>369 Highway Road,Una, GUJARAT,362560</v>
      </c>
      <c r="AW101" t="str">
        <f t="shared" si="158"/>
        <v>dept-prod-100_Production Assistant</v>
      </c>
      <c r="AX101" t="str">
        <f t="shared" si="159"/>
        <v>Customer ID:Cust100</v>
      </c>
      <c r="AY101" t="str">
        <f t="shared" si="160"/>
        <v>Email:RADHA.PILLAI@CORPORATE.IN</v>
      </c>
      <c r="AZ101" t="str">
        <f t="shared" si="161"/>
        <v>WWW.TAPE.COM/contact</v>
      </c>
      <c r="BA101" t="str">
        <f t="shared" si="162"/>
        <v>Order Placed On 14-Dec-2025</v>
      </c>
      <c r="BB101" t="str">
        <f t="shared" si="163"/>
        <v>radha PILLAI  (retail)</v>
      </c>
      <c r="BC101" t="str">
        <f t="shared" si="164"/>
        <v>prd-tape-100/GAFFER tape 2 INCH black</v>
      </c>
      <c r="BD101" t="str">
        <f t="shared" si="165"/>
        <v>call (02678) 9876-5432</v>
      </c>
      <c r="BE101" t="str">
        <f t="shared" si="166"/>
        <v>gaffer TAPE world-dept-prod-100</v>
      </c>
      <c r="BF101" t="str">
        <f t="shared" si="167"/>
        <v>Cust100-100</v>
      </c>
      <c r="BG101" t="str">
        <f t="shared" si="168"/>
        <v>Customer: radha PILLAI  ,Type: retail</v>
      </c>
      <c r="BH101" t="str">
        <f t="shared" si="169"/>
        <v>Una,india</v>
      </c>
      <c r="BI101" t="str">
        <f t="shared" si="170"/>
        <v>Cust</v>
      </c>
      <c r="BJ101" t="str">
        <f t="shared" si="171"/>
        <v>RADHA.PILL</v>
      </c>
      <c r="BK101" t="str">
        <f t="shared" si="172"/>
        <v xml:space="preserve">radha </v>
      </c>
      <c r="BL101" t="str">
        <f t="shared" si="173"/>
        <v>prd-t</v>
      </c>
      <c r="BM101" t="str">
        <f t="shared" si="174"/>
        <v>ret</v>
      </c>
      <c r="BN101" t="str">
        <f t="shared" si="175"/>
        <v xml:space="preserve">(02678) </v>
      </c>
      <c r="BO101" t="str">
        <f t="shared" si="176"/>
        <v>CORPORATE.IN</v>
      </c>
      <c r="BP101" t="str">
        <f t="shared" si="177"/>
        <v>Una</v>
      </c>
      <c r="BQ101" t="str">
        <f t="shared" si="178"/>
        <v>t100</v>
      </c>
      <c r="BR101" t="str">
        <f t="shared" si="179"/>
        <v>ILLAI</v>
      </c>
      <c r="BS101" t="str">
        <f t="shared" si="180"/>
        <v>pe-100</v>
      </c>
      <c r="BU101" t="str">
        <f t="shared" si="181"/>
        <v>-5432</v>
      </c>
      <c r="BV101" t="str">
        <f t="shared" si="182"/>
        <v>362560</v>
      </c>
      <c r="BW101" t="str">
        <f t="shared" si="183"/>
        <v xml:space="preserve"> GUJARAT</v>
      </c>
      <c r="BX101" t="str">
        <f t="shared" si="184"/>
        <v>100</v>
      </c>
      <c r="BY101" t="str">
        <f t="shared" si="185"/>
        <v>prod</v>
      </c>
      <c r="BZ101" t="str">
        <f t="shared" si="186"/>
        <v>tape</v>
      </c>
      <c r="CA101" t="str">
        <f t="shared" si="187"/>
        <v>Dec</v>
      </c>
      <c r="CB101" t="str">
        <f t="shared" si="188"/>
        <v xml:space="preserve">ffer </v>
      </c>
      <c r="CC101">
        <f t="shared" si="189"/>
        <v>13</v>
      </c>
      <c r="CD101">
        <f t="shared" si="190"/>
        <v>14</v>
      </c>
      <c r="CE101">
        <f t="shared" si="191"/>
        <v>25</v>
      </c>
      <c r="CF101">
        <f t="shared" si="192"/>
        <v>6</v>
      </c>
      <c r="CG101">
        <f t="shared" si="193"/>
        <v>24</v>
      </c>
      <c r="CH101">
        <f t="shared" si="194"/>
        <v>4</v>
      </c>
      <c r="CI101">
        <f t="shared" si="195"/>
        <v>7</v>
      </c>
      <c r="CJ101" t="str">
        <f t="shared" si="196"/>
        <v>Not found</v>
      </c>
      <c r="CK101">
        <f t="shared" si="197"/>
        <v>17</v>
      </c>
      <c r="CL101">
        <f t="shared" si="198"/>
        <v>4</v>
      </c>
      <c r="CM101">
        <f t="shared" si="199"/>
        <v>16</v>
      </c>
      <c r="CN101">
        <f t="shared" si="200"/>
        <v>6</v>
      </c>
      <c r="CO101">
        <f t="shared" si="201"/>
        <v>17</v>
      </c>
      <c r="CP101">
        <f t="shared" si="202"/>
        <v>9</v>
      </c>
      <c r="CQ101">
        <f t="shared" si="203"/>
        <v>13</v>
      </c>
      <c r="CR101" t="str">
        <f t="shared" si="204"/>
        <v>not found</v>
      </c>
      <c r="CS101">
        <f t="shared" si="205"/>
        <v>6</v>
      </c>
      <c r="CT101">
        <f t="shared" si="206"/>
        <v>9</v>
      </c>
      <c r="CU101">
        <f t="shared" si="207"/>
        <v>24</v>
      </c>
      <c r="CV101">
        <f t="shared" si="208"/>
        <v>3</v>
      </c>
      <c r="CW101" t="str">
        <f t="shared" si="209"/>
        <v>Customer ID100</v>
      </c>
      <c r="CX101" t="str">
        <f t="shared" si="210"/>
        <v>RADHA.PILLAI[AT]CORPORATE.IN</v>
      </c>
      <c r="CY101" t="str">
        <f t="shared" si="211"/>
        <v>Product-TAPE-100</v>
      </c>
      <c r="CZ101" t="str">
        <f t="shared" si="212"/>
        <v>prd_tape_100</v>
      </c>
      <c r="DA101" t="str">
        <f t="shared" si="213"/>
        <v>DEPARTMENT-PROD-100</v>
      </c>
      <c r="DB101" t="str">
        <f t="shared" si="214"/>
        <v>RADHA.PILLAI@CORPORATE.IN</v>
      </c>
      <c r="DC101" t="str">
        <f t="shared" si="215"/>
        <v>https://www..TAPE.COM</v>
      </c>
      <c r="DD101" t="str">
        <f t="shared" si="216"/>
        <v>radha/PILLAI//</v>
      </c>
      <c r="DE101" t="str">
        <f t="shared" si="217"/>
        <v>RETAIL CUSTOMER</v>
      </c>
      <c r="DF101" t="str">
        <f t="shared" si="218"/>
        <v>Una; GUJARAT;362560</v>
      </c>
      <c r="DG101" t="str">
        <f t="shared" si="219"/>
        <v>Production Assistant</v>
      </c>
      <c r="DH101" t="str">
        <f t="shared" si="220"/>
        <v xml:space="preserve"> 02678  9876-5432</v>
      </c>
      <c r="DI101" t="str">
        <f t="shared" si="221"/>
        <v>gaffer TAPE world</v>
      </c>
      <c r="DJ101" t="str">
        <f t="shared" si="222"/>
        <v>WWW.TAPE.COM</v>
      </c>
      <c r="DK101" t="str">
        <f t="shared" si="223"/>
        <v>369  Highway  Road</v>
      </c>
      <c r="DL101" t="str">
        <f t="shared" si="224"/>
        <v>RADHA.PILLAI</v>
      </c>
      <c r="DM101" t="str">
        <f t="shared" si="225"/>
        <v>radha.PILLAI@gaffer TAPE world.com</v>
      </c>
      <c r="DN101" t="str">
        <f t="shared" si="226"/>
        <v>radha</v>
      </c>
      <c r="DO101" t="str">
        <f t="shared" si="227"/>
        <v>PILLAI</v>
      </c>
      <c r="DP101" t="str">
        <f t="shared" si="228"/>
        <v>PILLAI,radha</v>
      </c>
      <c r="DQ101" t="str">
        <f t="shared" si="229"/>
        <v>Name has12characters</v>
      </c>
      <c r="DR101" t="str">
        <f t="shared" si="230"/>
        <v>Check Domain</v>
      </c>
      <c r="DS101" t="str">
        <f t="shared" si="231"/>
        <v>(026</v>
      </c>
      <c r="DT101" t="str">
        <f t="shared" si="232"/>
        <v>Cus100</v>
      </c>
      <c r="DU101" t="str">
        <f t="shared" si="233"/>
        <v>rpillai</v>
      </c>
      <c r="DV101" t="str">
        <f t="shared" si="234"/>
        <v>prd100</v>
      </c>
      <c r="DW101" t="str">
        <f t="shared" si="235"/>
        <v>(02678) 9876-5432</v>
      </c>
      <c r="DX101" t="str">
        <f t="shared" si="236"/>
        <v>2025</v>
      </c>
      <c r="DY101" t="str">
        <f t="shared" si="237"/>
        <v>r</v>
      </c>
      <c r="DZ101" t="str">
        <f t="shared" si="238"/>
        <v>radhaPILLAI@gaffer TAPE world.com</v>
      </c>
      <c r="EA101" t="str">
        <f t="shared" si="239"/>
        <v>Retail</v>
      </c>
      <c r="EB101" t="str">
        <f t="shared" si="240"/>
        <v>CORPORATE.IN</v>
      </c>
      <c r="EC101">
        <f t="shared" si="241"/>
        <v>24</v>
      </c>
      <c r="ED101" t="str">
        <f t="shared" si="242"/>
        <v>Un00</v>
      </c>
      <c r="EE101" t="str">
        <f t="shared" si="243"/>
        <v>Una- GUJARAT(362560)</v>
      </c>
      <c r="EF101" t="str">
        <f t="shared" si="244"/>
        <v>0267898765432</v>
      </c>
      <c r="EG101" t="str">
        <f t="shared" si="245"/>
        <v>CUST-100</v>
      </c>
      <c r="EH101" t="str">
        <f t="shared" si="246"/>
        <v>public</v>
      </c>
      <c r="EI101" t="str">
        <f t="shared" si="247"/>
        <v>PRD-100-14Dec25</v>
      </c>
      <c r="EJ101" t="str">
        <f t="shared" si="248"/>
        <v>Retail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patel</cp:lastModifiedBy>
  <dcterms:created xsi:type="dcterms:W3CDTF">2026-03-12T11:17:37Z</dcterms:created>
  <dcterms:modified xsi:type="dcterms:W3CDTF">2026-03-17T07:24:47Z</dcterms:modified>
</cp:coreProperties>
</file>