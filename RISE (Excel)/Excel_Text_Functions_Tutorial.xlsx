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una\Desktop\RISE (Excel)\"/>
    </mc:Choice>
  </mc:AlternateContent>
  <xr:revisionPtr revIDLastSave="0" documentId="13_ncr:1_{B32C935D-FD87-467B-8043-71186922DF5F}" xr6:coauthVersionLast="47" xr6:coauthVersionMax="47" xr10:uidLastSave="{00000000-0000-0000-0000-000000000000}"/>
  <bookViews>
    <workbookView xWindow="-108" yWindow="-108" windowWidth="23256" windowHeight="12456" tabRatio="500" firstSheet="6" activeTab="8" xr2:uid="{00000000-000D-0000-FFFF-FFFF00000000}"/>
  </bookViews>
  <sheets>
    <sheet name="1. UPPER LOWER PROPER" sheetId="1" r:id="rId1"/>
    <sheet name="2. TRIM Function" sheetId="2" r:id="rId2"/>
    <sheet name="3. CONCATENATE" sheetId="3" r:id="rId3"/>
    <sheet name="4. LEFT RIGHT MID" sheetId="4" r:id="rId4"/>
    <sheet name="5. LEN Function" sheetId="5" r:id="rId5"/>
    <sheet name="6. FIND &amp; SEARCH" sheetId="6" r:id="rId6"/>
    <sheet name="7. SUBSTITUTE" sheetId="7" r:id="rId7"/>
    <sheet name="Sheet1" sheetId="11" r:id="rId8"/>
    <sheet name="8. Real World Example" sheetId="8" r:id="rId9"/>
    <sheet name="9. Practice Exercises" sheetId="9" r:id="rId10"/>
    <sheet name="10. Answer Key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8" l="1"/>
  <c r="E6" i="8"/>
  <c r="E7" i="8"/>
  <c r="E4" i="8"/>
  <c r="D5" i="8"/>
  <c r="D6" i="8"/>
  <c r="D7" i="8"/>
  <c r="D4" i="8"/>
  <c r="C5" i="8"/>
  <c r="C6" i="8"/>
  <c r="C7" i="8"/>
  <c r="C4" i="8"/>
  <c r="B5" i="8"/>
  <c r="B6" i="8"/>
  <c r="B7" i="8"/>
  <c r="B4" i="8"/>
  <c r="L3" i="11"/>
  <c r="L4" i="11"/>
  <c r="L5" i="11"/>
  <c r="L6" i="11"/>
  <c r="L7" i="11"/>
  <c r="L8" i="11"/>
  <c r="L2" i="11"/>
  <c r="K3" i="11"/>
  <c r="K4" i="11"/>
  <c r="K5" i="11"/>
  <c r="K6" i="11"/>
  <c r="K7" i="11"/>
  <c r="K8" i="11"/>
  <c r="K2" i="11"/>
  <c r="J3" i="11"/>
  <c r="J4" i="11"/>
  <c r="J5" i="11"/>
  <c r="J6" i="11"/>
  <c r="J7" i="11"/>
  <c r="J8" i="11"/>
  <c r="J2" i="11"/>
  <c r="I3" i="11"/>
  <c r="I4" i="11"/>
  <c r="I5" i="11"/>
  <c r="I6" i="11"/>
  <c r="I7" i="11"/>
  <c r="I8" i="11"/>
  <c r="I2" i="11"/>
  <c r="H3" i="11"/>
  <c r="H4" i="11"/>
  <c r="H5" i="11"/>
  <c r="H6" i="11"/>
  <c r="H7" i="11"/>
  <c r="H8" i="11"/>
  <c r="H2" i="11"/>
  <c r="F3" i="11"/>
  <c r="F4" i="11"/>
  <c r="F5" i="11"/>
  <c r="F6" i="11"/>
  <c r="F7" i="11"/>
  <c r="F8" i="11"/>
  <c r="F2" i="11"/>
  <c r="G3" i="11"/>
  <c r="G4" i="11"/>
  <c r="G5" i="11"/>
  <c r="G6" i="11"/>
  <c r="G7" i="11"/>
  <c r="G8" i="11"/>
  <c r="G2" i="11"/>
  <c r="E3" i="11"/>
  <c r="E4" i="11"/>
  <c r="E5" i="11"/>
  <c r="E6" i="11"/>
  <c r="E7" i="11"/>
  <c r="E8" i="11"/>
  <c r="E2" i="11"/>
  <c r="C24" i="9"/>
  <c r="C25" i="9"/>
  <c r="C23" i="9"/>
  <c r="B24" i="9"/>
  <c r="B25" i="9"/>
  <c r="B23" i="9"/>
  <c r="C18" i="9"/>
  <c r="C19" i="9"/>
  <c r="C17" i="9"/>
  <c r="B18" i="9"/>
  <c r="B19" i="9"/>
  <c r="B17" i="9"/>
  <c r="C12" i="9"/>
  <c r="C13" i="9"/>
  <c r="C11" i="9"/>
  <c r="B12" i="9"/>
  <c r="B13" i="9"/>
  <c r="B11" i="9"/>
  <c r="C6" i="9"/>
  <c r="C7" i="9"/>
  <c r="C5" i="9"/>
  <c r="B6" i="9"/>
  <c r="B7" i="9"/>
  <c r="B5" i="9"/>
  <c r="D13" i="7"/>
  <c r="D14" i="7"/>
  <c r="D15" i="7"/>
  <c r="D12" i="7"/>
  <c r="C13" i="7"/>
  <c r="C14" i="7"/>
  <c r="C15" i="7"/>
  <c r="C12" i="7"/>
  <c r="B13" i="7"/>
  <c r="B14" i="7"/>
  <c r="B15" i="7"/>
  <c r="B12" i="7"/>
  <c r="D5" i="7"/>
  <c r="D6" i="7"/>
  <c r="D7" i="7"/>
  <c r="D8" i="7"/>
  <c r="D4" i="7"/>
  <c r="D13" i="6"/>
  <c r="D14" i="6"/>
  <c r="D15" i="6"/>
  <c r="D16" i="6"/>
  <c r="D12" i="6"/>
  <c r="B13" i="6"/>
  <c r="B14" i="6"/>
  <c r="B15" i="6"/>
  <c r="B16" i="6"/>
  <c r="B12" i="6"/>
  <c r="C13" i="6"/>
  <c r="C14" i="6"/>
  <c r="C15" i="6"/>
  <c r="C16" i="6"/>
  <c r="C12" i="6"/>
  <c r="E5" i="6"/>
  <c r="E6" i="6"/>
  <c r="E7" i="6"/>
  <c r="E8" i="6"/>
  <c r="E4" i="6"/>
  <c r="D5" i="6"/>
  <c r="D6" i="6"/>
  <c r="D7" i="6"/>
  <c r="D8" i="6"/>
  <c r="D4" i="6"/>
  <c r="C5" i="6"/>
  <c r="C6" i="6"/>
  <c r="C7" i="6"/>
  <c r="C8" i="6"/>
  <c r="C4" i="6"/>
  <c r="B5" i="6"/>
  <c r="B6" i="6"/>
  <c r="B7" i="6"/>
  <c r="B8" i="6"/>
  <c r="B4" i="6"/>
  <c r="D14" i="5"/>
  <c r="D15" i="5"/>
  <c r="D16" i="5"/>
  <c r="D17" i="5"/>
  <c r="D13" i="5"/>
  <c r="B14" i="5"/>
  <c r="B15" i="5"/>
  <c r="B16" i="5"/>
  <c r="B17" i="5"/>
  <c r="B13" i="5"/>
  <c r="D5" i="5"/>
  <c r="D6" i="5"/>
  <c r="D7" i="5"/>
  <c r="D8" i="5"/>
  <c r="D9" i="5"/>
  <c r="D4" i="5"/>
  <c r="B5" i="5"/>
  <c r="B6" i="5"/>
  <c r="B7" i="5"/>
  <c r="B8" i="5"/>
  <c r="B9" i="5"/>
  <c r="B4" i="5"/>
  <c r="D13" i="4"/>
  <c r="D14" i="4"/>
  <c r="D15" i="4"/>
  <c r="D12" i="4"/>
  <c r="C13" i="4"/>
  <c r="C14" i="4"/>
  <c r="C15" i="4"/>
  <c r="C12" i="4"/>
  <c r="B13" i="4"/>
  <c r="B14" i="4"/>
  <c r="B15" i="4"/>
  <c r="B12" i="4"/>
  <c r="E5" i="4"/>
  <c r="E6" i="4"/>
  <c r="E7" i="4"/>
  <c r="E8" i="4"/>
  <c r="E4" i="4"/>
  <c r="D5" i="4"/>
  <c r="D6" i="4"/>
  <c r="D7" i="4"/>
  <c r="D8" i="4"/>
  <c r="D4" i="4"/>
  <c r="C5" i="4"/>
  <c r="C6" i="4"/>
  <c r="C7" i="4"/>
  <c r="C8" i="4"/>
  <c r="C4" i="4"/>
  <c r="B5" i="4"/>
  <c r="B6" i="4"/>
  <c r="B7" i="4"/>
  <c r="B8" i="4"/>
  <c r="B4" i="4"/>
  <c r="E16" i="3"/>
  <c r="E13" i="3"/>
  <c r="E14" i="3"/>
  <c r="E15" i="3"/>
  <c r="E12" i="3"/>
  <c r="F5" i="3"/>
  <c r="F6" i="3"/>
  <c r="F7" i="3"/>
  <c r="F8" i="3"/>
  <c r="F4" i="3"/>
  <c r="E5" i="3"/>
  <c r="E6" i="3"/>
  <c r="E7" i="3"/>
  <c r="E8" i="3"/>
  <c r="E4" i="3"/>
  <c r="D5" i="3"/>
  <c r="D6" i="3"/>
  <c r="D7" i="3"/>
  <c r="D8" i="3"/>
  <c r="D4" i="3"/>
  <c r="C5" i="2"/>
  <c r="C6" i="2"/>
  <c r="C7" i="2"/>
  <c r="C8" i="2"/>
  <c r="C9" i="2"/>
  <c r="C4" i="2"/>
  <c r="B5" i="2"/>
  <c r="B6" i="2"/>
  <c r="B7" i="2"/>
  <c r="B8" i="2"/>
  <c r="B9" i="2"/>
  <c r="B4" i="2"/>
  <c r="D5" i="1"/>
  <c r="D6" i="1"/>
  <c r="D7" i="1"/>
  <c r="D8" i="1"/>
  <c r="D9" i="1"/>
  <c r="D4" i="1"/>
  <c r="C5" i="1"/>
  <c r="C6" i="1"/>
  <c r="C7" i="1"/>
  <c r="C8" i="1"/>
  <c r="C9" i="1"/>
  <c r="C4" i="1"/>
  <c r="B5" i="1"/>
  <c r="B6" i="1"/>
  <c r="B7" i="1"/>
  <c r="B8" i="1"/>
  <c r="B9" i="1"/>
  <c r="B4" i="1"/>
  <c r="B25" i="10"/>
  <c r="C25" i="10" s="1"/>
  <c r="B24" i="10"/>
  <c r="C24" i="10" s="1"/>
  <c r="B23" i="10"/>
  <c r="C23" i="10" s="1"/>
  <c r="B19" i="10"/>
  <c r="C19" i="10" s="1"/>
  <c r="B18" i="10"/>
  <c r="C18" i="10" s="1"/>
  <c r="B17" i="10"/>
  <c r="C17" i="10" s="1"/>
  <c r="C13" i="10"/>
  <c r="B13" i="10"/>
  <c r="C12" i="10"/>
  <c r="B12" i="10"/>
  <c r="C11" i="10"/>
  <c r="B11" i="10"/>
  <c r="B7" i="10"/>
  <c r="C7" i="10" s="1"/>
  <c r="B6" i="10"/>
  <c r="C6" i="10" s="1"/>
  <c r="B5" i="10"/>
  <c r="C5" i="10" s="1"/>
  <c r="C8" i="3"/>
  <c r="C7" i="3"/>
  <c r="C6" i="3"/>
  <c r="C5" i="3"/>
  <c r="C4" i="3"/>
</calcChain>
</file>

<file path=xl/sharedStrings.xml><?xml version="1.0" encoding="utf-8"?>
<sst xmlns="http://schemas.openxmlformats.org/spreadsheetml/2006/main" count="350" uniqueCount="258">
  <si>
    <t>EXCEL TEXT FUNCTIONS - LEVEL 1: UPPER, LOWER, PROPER</t>
  </si>
  <si>
    <t>Original Text</t>
  </si>
  <si>
    <t>UPPER()</t>
  </si>
  <si>
    <t>LOWER()</t>
  </si>
  <si>
    <t>PROPER()</t>
  </si>
  <si>
    <t>Explanation</t>
  </si>
  <si>
    <t>Converts case format</t>
  </si>
  <si>
    <t>PRIYA SHARMA</t>
  </si>
  <si>
    <t>rAhUl SiNgH</t>
  </si>
  <si>
    <t>new delhi</t>
  </si>
  <si>
    <t>MUMBAI INDIA</t>
  </si>
  <si>
    <t>bangalore city</t>
  </si>
  <si>
    <t>UPPER() = ALL CAPITALS  |  LOWER() = all small  |  PROPER() = First Letter Capital</t>
  </si>
  <si>
    <t>LEVEL 2: TRIM - REMOVE EXTRA SPACES</t>
  </si>
  <si>
    <t>Text with Extra Spaces</t>
  </si>
  <si>
    <t>TRIM Result</t>
  </si>
  <si>
    <t>Formula</t>
  </si>
  <si>
    <t>What it does</t>
  </si>
  <si>
    <t xml:space="preserve">  Amit Kumar  </t>
  </si>
  <si>
    <t>Removes leading, trailing &amp; extra spaces</t>
  </si>
  <si>
    <t xml:space="preserve">  Product    Name  </t>
  </si>
  <si>
    <t>Employee    ID</t>
  </si>
  <si>
    <t>TRIM() removes spaces from start, end, and between words (keeps only 1 space)</t>
  </si>
  <si>
    <t>LEVEL 3: CONCATENATE - JOIN TEXT</t>
  </si>
  <si>
    <t>First Name</t>
  </si>
  <si>
    <t>Last Name</t>
  </si>
  <si>
    <t>Full Name</t>
  </si>
  <si>
    <t>With &amp; Operator</t>
  </si>
  <si>
    <t>Amit</t>
  </si>
  <si>
    <t>Kumar</t>
  </si>
  <si>
    <t>Priya</t>
  </si>
  <si>
    <t>Sharma</t>
  </si>
  <si>
    <t>Rahul</t>
  </si>
  <si>
    <t>Singh</t>
  </si>
  <si>
    <t>Sneha</t>
  </si>
  <si>
    <t>Patel</t>
  </si>
  <si>
    <t>Rohan</t>
  </si>
  <si>
    <t>Verma</t>
  </si>
  <si>
    <t>Example 2: Combining Address</t>
  </si>
  <si>
    <t>City</t>
  </si>
  <si>
    <t>State</t>
  </si>
  <si>
    <t>PIN</t>
  </si>
  <si>
    <t>Complete Address</t>
  </si>
  <si>
    <t>Mumbai</t>
  </si>
  <si>
    <t>Maharashtra</t>
  </si>
  <si>
    <t>400001</t>
  </si>
  <si>
    <t>Delhi</t>
  </si>
  <si>
    <t>110001</t>
  </si>
  <si>
    <t>Bangalore</t>
  </si>
  <si>
    <t>Karnataka</t>
  </si>
  <si>
    <t>560001</t>
  </si>
  <si>
    <t>Chennai</t>
  </si>
  <si>
    <t>Tamil Nadu</t>
  </si>
  <si>
    <t>600001</t>
  </si>
  <si>
    <t>CONCATENATE joins text | Use &amp; operator as shortcut</t>
  </si>
  <si>
    <t>LEVEL 4: LEFT, RIGHT, MID - EXTRACT TEXT</t>
  </si>
  <si>
    <t>Product Code</t>
  </si>
  <si>
    <t>LEFT 3 chars</t>
  </si>
  <si>
    <t>RIGHT 4 chars</t>
  </si>
  <si>
    <t>MID (4,3)</t>
  </si>
  <si>
    <t>LEFT Formula</t>
  </si>
  <si>
    <t>LAP-2024-001</t>
  </si>
  <si>
    <t>Extract Category, Number, Year</t>
  </si>
  <si>
    <t>MOB-2024-002</t>
  </si>
  <si>
    <t>TAB-2023-156</t>
  </si>
  <si>
    <t>CAM-2024-089</t>
  </si>
  <si>
    <t>HDP-2023-234</t>
  </si>
  <si>
    <t>Example 2: Phone Numbers</t>
  </si>
  <si>
    <t>Phone Number</t>
  </si>
  <si>
    <t>STD Code</t>
  </si>
  <si>
    <t>Last 4 Digits</t>
  </si>
  <si>
    <t>Middle Part</t>
  </si>
  <si>
    <t>Formulas Used</t>
  </si>
  <si>
    <t>022-2345-6789</t>
  </si>
  <si>
    <t>LEFT(A12,3), RIGHT(A12,4), MID(A12,5,4)</t>
  </si>
  <si>
    <t>011-4567-8901</t>
  </si>
  <si>
    <t>LEFT(A13,3), RIGHT(A13,4), MID(A13,5,4)</t>
  </si>
  <si>
    <t>080-7890-1234</t>
  </si>
  <si>
    <t>LEFT(A14,3), RIGHT(A14,4), MID(A14,5,4)</t>
  </si>
  <si>
    <t>044-3456-7890</t>
  </si>
  <si>
    <t>LEFT(A15,3), RIGHT(A15,4), MID(A15,5,4)</t>
  </si>
  <si>
    <t>LEFT(text,num) = from left | RIGHT(text,num) = from right | MID(text,start,num) = from middle</t>
  </si>
  <si>
    <t>LEVEL 5: LEN - COUNT CHARACTERS</t>
  </si>
  <si>
    <t>Text / Name</t>
  </si>
  <si>
    <t>Length</t>
  </si>
  <si>
    <t>Valid?</t>
  </si>
  <si>
    <t>Validation Logic</t>
  </si>
  <si>
    <t>Name must be at least 3 characters</t>
  </si>
  <si>
    <t>Priya Sharma</t>
  </si>
  <si>
    <t>AB</t>
  </si>
  <si>
    <t>Rahul Kumar Singh</t>
  </si>
  <si>
    <t>XY</t>
  </si>
  <si>
    <t>Sneha Patel</t>
  </si>
  <si>
    <t>Example 2: Password Length Check</t>
  </si>
  <si>
    <t>Password</t>
  </si>
  <si>
    <t>Strong?</t>
  </si>
  <si>
    <t>Requirement</t>
  </si>
  <si>
    <t>Pass123</t>
  </si>
  <si>
    <t>Minimum 8 characters required</t>
  </si>
  <si>
    <t>MySecurePassword2024</t>
  </si>
  <si>
    <t>abc</t>
  </si>
  <si>
    <t>Strong@123</t>
  </si>
  <si>
    <t>12345</t>
  </si>
  <si>
    <t>LEN(text) counts all characters including spaces</t>
  </si>
  <si>
    <t>LEVEL 6: FIND &amp; SEARCH - LOCATE TEXT</t>
  </si>
  <si>
    <t>Email Address</t>
  </si>
  <si>
    <t>Find @ Position</t>
  </si>
  <si>
    <t>Find . Position</t>
  </si>
  <si>
    <t>Username</t>
  </si>
  <si>
    <t>Domain</t>
  </si>
  <si>
    <t>Formulas</t>
  </si>
  <si>
    <t>amit@gmail.com</t>
  </si>
  <si>
    <t>FIND locates character position</t>
  </si>
  <si>
    <t>priya@yahoo.com</t>
  </si>
  <si>
    <t>rahul@outlook.com</t>
  </si>
  <si>
    <t>sneha@company.in</t>
  </si>
  <si>
    <t>rohan@mail.org</t>
  </si>
  <si>
    <t>Example 2: Search in Text (Case-Insensitive)</t>
  </si>
  <si>
    <t>Product Name</t>
  </si>
  <si>
    <t>Search "Pro"</t>
  </si>
  <si>
    <t>Found?</t>
  </si>
  <si>
    <t>iPhone Pro Max</t>
  </si>
  <si>
    <t>Samsung Galaxy</t>
  </si>
  <si>
    <t>MacBook Pro</t>
  </si>
  <si>
    <t>Dell Laptop</t>
  </si>
  <si>
    <t>iPad pro</t>
  </si>
  <si>
    <t>FIND = Case-Sensitive | SEARCH = Case-Insensitive | Both return position number</t>
  </si>
  <si>
    <t>LEVEL 7: SUBSTITUTE - REPLACE TEXT</t>
  </si>
  <si>
    <t>Replace What</t>
  </si>
  <si>
    <t>With What</t>
  </si>
  <si>
    <t>Result</t>
  </si>
  <si>
    <t>Hello World</t>
  </si>
  <si>
    <t>World</t>
  </si>
  <si>
    <t>India</t>
  </si>
  <si>
    <t>gmail</t>
  </si>
  <si>
    <t>yahoo</t>
  </si>
  <si>
    <t>Product-2024</t>
  </si>
  <si>
    <t>-</t>
  </si>
  <si>
    <t>_</t>
  </si>
  <si>
    <t>Phone: 9876543210</t>
  </si>
  <si>
    <t>:</t>
  </si>
  <si>
    <t xml:space="preserve"> -</t>
  </si>
  <si>
    <t>Mr. Sharma</t>
  </si>
  <si>
    <t>Mr.</t>
  </si>
  <si>
    <t>Ms.</t>
  </si>
  <si>
    <t>Example 2: Format Phone Numbers</t>
  </si>
  <si>
    <t>Unformatted Number</t>
  </si>
  <si>
    <t>Remove Spaces</t>
  </si>
  <si>
    <t>Remove Hyphens</t>
  </si>
  <si>
    <t>Clean Number</t>
  </si>
  <si>
    <t>Formula Chain</t>
  </si>
  <si>
    <t>Nested SUBSTITUTE to clean</t>
  </si>
  <si>
    <t>011 4567 8901</t>
  </si>
  <si>
    <t>+91-98765-43210</t>
  </si>
  <si>
    <t>080 7890 1234</t>
  </si>
  <si>
    <t>SUBSTITUTE(text, old_text, new_text) - Replaces specific text</t>
  </si>
  <si>
    <t>REAL WORLD: DATA CLEANING &amp; FORMATTING</t>
  </si>
  <si>
    <t>Raw Data</t>
  </si>
  <si>
    <t>Clean Name</t>
  </si>
  <si>
    <t>Phone (Clean)</t>
  </si>
  <si>
    <t>City Code</t>
  </si>
  <si>
    <t>Name Length</t>
  </si>
  <si>
    <t xml:space="preserve">  amit kumar  | amit@gmail.com | 022-2345-6789</t>
  </si>
  <si>
    <t>Multiple functions combined</t>
  </si>
  <si>
    <t>PRIYA SHARMA | priya@yahoo.in | 011 4567 8901</t>
  </si>
  <si>
    <t xml:space="preserve">  rahul   singh | rahul@outlook.com | 080-7890-1234</t>
  </si>
  <si>
    <t>sneha patel | sneha@company.co.in | 044 3456 7890</t>
  </si>
  <si>
    <t>This example uses: PROPER, TRIM, LEFT, FIND, MID, RIGHT, SUBSTITUTE, LEN</t>
  </si>
  <si>
    <t>PRACTICE EXERCISES - TEST YOUR SKILLS!</t>
  </si>
  <si>
    <t>Exercise 1: Format Names</t>
  </si>
  <si>
    <t>Name (mixed case)</t>
  </si>
  <si>
    <t>Proper Format</t>
  </si>
  <si>
    <t>Length Check</t>
  </si>
  <si>
    <t>Task: Use PROPER &amp; LEN</t>
  </si>
  <si>
    <t>rAjEsH kUmAr</t>
  </si>
  <si>
    <t>Convert to proper case &amp; count characters</t>
  </si>
  <si>
    <t>MEERA SHARMA</t>
  </si>
  <si>
    <t>suresh patel</t>
  </si>
  <si>
    <t>Exercise 2: Extract Email Parts</t>
  </si>
  <si>
    <t>Full Email</t>
  </si>
  <si>
    <t>Task: Use FIND, LEFT, MID</t>
  </si>
  <si>
    <t>john@example.com</t>
  </si>
  <si>
    <t>Extract username before @ and domain after @</t>
  </si>
  <si>
    <t>sarah@company.co.in</t>
  </si>
  <si>
    <t>mike@test.org</t>
  </si>
  <si>
    <t>Exercise 3: Clean Phone Numbers</t>
  </si>
  <si>
    <t>Phone with spaces/hyphens</t>
  </si>
  <si>
    <t>Task: Use SUBSTITUTE, LEFT</t>
  </si>
  <si>
    <t>Remove all spaces &amp; hyphens, extract first 3 digits</t>
  </si>
  <si>
    <t>+91-080-7890-1234</t>
  </si>
  <si>
    <t>Exercise 4: Text Replacement</t>
  </si>
  <si>
    <t>Text</t>
  </si>
  <si>
    <t>Replace "Mr" with "Dr"</t>
  </si>
  <si>
    <t>Convert to UPPER</t>
  </si>
  <si>
    <t>Task: Use SUBSTITUTE, UPPER</t>
  </si>
  <si>
    <t>Replace title and convert to uppercase</t>
  </si>
  <si>
    <t>Mr. Patel</t>
  </si>
  <si>
    <t>Mr. Kumar</t>
  </si>
  <si>
    <t>ANSWER KEY - PRACTICE SOLUTIONS</t>
  </si>
  <si>
    <t>Exercise 1 Solutions:</t>
  </si>
  <si>
    <t>Name</t>
  </si>
  <si>
    <t>PROPER(A5), LEN(B5)</t>
  </si>
  <si>
    <t>PROPER(A6), LEN(B6)</t>
  </si>
  <si>
    <t>PROPER(A7), LEN(B7)</t>
  </si>
  <si>
    <t>Exercise 2 Solutions:</t>
  </si>
  <si>
    <t>Email</t>
  </si>
  <si>
    <t>LEFT, FIND, MID functions</t>
  </si>
  <si>
    <t>Exercise 3 Solutions:</t>
  </si>
  <si>
    <t>Phone</t>
  </si>
  <si>
    <t>Clean</t>
  </si>
  <si>
    <t>Nested SUBSTITUTE, LEFT</t>
  </si>
  <si>
    <t>Exercise 4 Solutions:</t>
  </si>
  <si>
    <t>Replace</t>
  </si>
  <si>
    <t>Upper Case</t>
  </si>
  <si>
    <t>SUBSTITUTE, UPPER</t>
  </si>
  <si>
    <t>amit kuma</t>
  </si>
  <si>
    <t>Priya                   Sharma</t>
  </si>
  <si>
    <t xml:space="preserve">              Delhi    </t>
  </si>
  <si>
    <t xml:space="preserve">   Mumbai   Maharashtra       </t>
  </si>
  <si>
    <t>Vadodara</t>
  </si>
  <si>
    <t>Gujarat</t>
  </si>
  <si>
    <t>if greater then 3 valid othewise short</t>
  </si>
  <si>
    <t>if greter then equal to 8 sostrong otherwise weak</t>
  </si>
  <si>
    <t xml:space="preserve">In found : Yes/No </t>
  </si>
  <si>
    <t>Search "Pro" : No of position and "Not Found"</t>
  </si>
  <si>
    <t>Username using find left</t>
  </si>
  <si>
    <t>Domain name using mid</t>
  </si>
  <si>
    <t>amitkumar</t>
  </si>
  <si>
    <t>Date</t>
  </si>
  <si>
    <t>Value</t>
  </si>
  <si>
    <t>Test1</t>
  </si>
  <si>
    <t>Test2</t>
  </si>
  <si>
    <t>Test3</t>
  </si>
  <si>
    <t>Test4</t>
  </si>
  <si>
    <t>Test5</t>
  </si>
  <si>
    <t>Test6</t>
  </si>
  <si>
    <t>Test7</t>
  </si>
  <si>
    <t>Mumbai, Maharashtra - 400001</t>
  </si>
  <si>
    <t>Delhi, Delhi - 110001</t>
  </si>
  <si>
    <t>Bangalore, Karnataka - 560001</t>
  </si>
  <si>
    <t>Chennai, Tamil Nadu - 600001</t>
  </si>
  <si>
    <t>Month</t>
  </si>
  <si>
    <t>Year</t>
  </si>
  <si>
    <t>Day (Full Name)</t>
  </si>
  <si>
    <t>Month Full</t>
  </si>
  <si>
    <t>Year (2 digit)</t>
  </si>
  <si>
    <t>String Write like</t>
  </si>
  <si>
    <t>Test1 is earned on day  Amount rs.122</t>
  </si>
  <si>
    <t>Test2 is earned on day  Amount rs.322</t>
  </si>
  <si>
    <t>Test3 is earned on day  Amount rs.234</t>
  </si>
  <si>
    <t>Test4 is earned on day  Amount rs.543</t>
  </si>
  <si>
    <t>Test5 is earned on day  Amount rs.5656</t>
  </si>
  <si>
    <t>Test6 is earned on day  Amount rs.54</t>
  </si>
  <si>
    <t>Test7 is earned on day  Amount rs.656</t>
  </si>
  <si>
    <t>String Write like beside using Formula</t>
  </si>
  <si>
    <t>Day 3 character</t>
  </si>
  <si>
    <t>Day 2 digit</t>
  </si>
  <si>
    <t xml:space="preserve">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</si>
</sst>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1"/>
      <name val="Cambria"/>
      <charset val="1"/>
    </font>
    <font>
      <b/>
      <i/>
      <sz val="11"/>
      <name val="Cambria"/>
      <charset val="1"/>
    </font>
    <font>
      <b/>
      <i/>
      <sz val="11"/>
      <color rgb="FFFF0000"/>
      <name val="Cambria"/>
      <charset val="1"/>
    </font>
    <font>
      <b/>
      <sz val="12"/>
      <name val="Cambria"/>
      <charset val="1"/>
    </font>
    <font>
      <sz val="8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4DFEC"/>
      </patternFill>
    </fill>
    <fill>
      <patternFill patternType="solid">
        <fgColor rgb="FF70AD47"/>
        <bgColor rgb="FF99CC00"/>
      </patternFill>
    </fill>
    <fill>
      <patternFill patternType="solid">
        <fgColor rgb="FFE2EFDA"/>
        <bgColor rgb="FFECF0F1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FF0000"/>
      </patternFill>
    </fill>
    <fill>
      <patternFill patternType="solid">
        <fgColor rgb="FFFCE4D6"/>
        <bgColor rgb="FFFFE5E5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00B050"/>
        <bgColor rgb="FF008080"/>
      </patternFill>
    </fill>
    <fill>
      <patternFill patternType="solid">
        <fgColor rgb="FFC6E0B4"/>
        <bgColor rgb="FFE2EFDA"/>
      </patternFill>
    </fill>
    <fill>
      <patternFill patternType="solid">
        <fgColor rgb="FF002060"/>
        <bgColor rgb="FF000080"/>
      </patternFill>
    </fill>
    <fill>
      <patternFill patternType="solid">
        <fgColor rgb="FFDDEBF7"/>
        <bgColor rgb="FFD4F1F4"/>
      </patternFill>
    </fill>
    <fill>
      <patternFill patternType="solid">
        <fgColor rgb="FFFF6B6B"/>
        <bgColor rgb="FFFF6600"/>
      </patternFill>
    </fill>
    <fill>
      <patternFill patternType="solid">
        <fgColor rgb="FFFFE5E5"/>
        <bgColor rgb="FFFCE4D6"/>
      </patternFill>
    </fill>
    <fill>
      <patternFill patternType="solid">
        <fgColor rgb="FF4ECDC4"/>
        <bgColor rgb="FF00CCFF"/>
      </patternFill>
    </fill>
    <fill>
      <patternFill patternType="solid">
        <fgColor rgb="FFD4F1F4"/>
        <bgColor rgb="FFDDEBF7"/>
      </patternFill>
    </fill>
    <fill>
      <patternFill patternType="solid">
        <fgColor rgb="FF2C3E50"/>
        <bgColor rgb="FF333399"/>
      </patternFill>
    </fill>
    <fill>
      <patternFill patternType="solid">
        <fgColor rgb="FFECF0F1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2" fillId="3" borderId="0" xfId="0" applyFont="1" applyFill="1"/>
    <xf numFmtId="0" fontId="2" fillId="5" borderId="0" xfId="0" applyFont="1" applyFill="1"/>
    <xf numFmtId="0" fontId="2" fillId="7" borderId="0" xfId="0" applyFont="1" applyFill="1"/>
    <xf numFmtId="0" fontId="2" fillId="9" borderId="0" xfId="0" applyFont="1" applyFill="1"/>
    <xf numFmtId="0" fontId="2" fillId="11" borderId="0" xfId="0" applyFont="1" applyFill="1"/>
    <xf numFmtId="0" fontId="2" fillId="13" borderId="0" xfId="0" applyFont="1" applyFill="1"/>
    <xf numFmtId="0" fontId="2" fillId="15" borderId="0" xfId="0" applyFont="1" applyFill="1"/>
    <xf numFmtId="0" fontId="2" fillId="17" borderId="0" xfId="0" applyFont="1" applyFill="1"/>
    <xf numFmtId="0" fontId="2" fillId="19" borderId="0" xfId="0" applyFont="1" applyFill="1"/>
    <xf numFmtId="0" fontId="2" fillId="21" borderId="0" xfId="0" applyFont="1" applyFill="1"/>
    <xf numFmtId="164" fontId="0" fillId="0" borderId="0" xfId="0" applyNumberFormat="1"/>
    <xf numFmtId="0" fontId="1" fillId="16" borderId="0" xfId="0" applyFont="1" applyFill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0" borderId="0" xfId="0" applyFont="1"/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7030A0"/>
      <rgbColor rgb="FFFFF2CC"/>
      <rgbColor rgb="FFD4F1F4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E5E5"/>
      <rgbColor rgb="FFE4DFEC"/>
      <rgbColor rgb="FFECF0F1"/>
      <rgbColor rgb="FFCC99FF"/>
      <rgbColor rgb="FFFCE4D6"/>
      <rgbColor rgb="FF4472C4"/>
      <rgbColor rgb="FF4ECDC4"/>
      <rgbColor rgb="FF99CC00"/>
      <rgbColor rgb="FFFFC000"/>
      <rgbColor rgb="FFFF9900"/>
      <rgbColor rgb="FFFF6600"/>
      <rgbColor rgb="FF666699"/>
      <rgbColor rgb="FF70AD47"/>
      <rgbColor rgb="FF002060"/>
      <rgbColor rgb="FF00B050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30" zoomScaleNormal="130" workbookViewId="0">
      <selection activeCell="D12" sqref="D12"/>
    </sheetView>
  </sheetViews>
  <sheetFormatPr defaultColWidth="8.6640625" defaultRowHeight="14.4" x14ac:dyDescent="0.3"/>
  <cols>
    <col min="1" max="4" width="20" customWidth="1"/>
    <col min="5" max="5" width="25" customWidth="1"/>
  </cols>
  <sheetData>
    <row r="1" spans="1:5" ht="17.25" customHeight="1" x14ac:dyDescent="0.3">
      <c r="A1" s="15" t="s">
        <v>0</v>
      </c>
      <c r="B1" s="15"/>
      <c r="C1" s="15"/>
      <c r="D1" s="15"/>
      <c r="E1" s="15"/>
    </row>
    <row r="3" spans="1:5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" customHeight="1" x14ac:dyDescent="0.3">
      <c r="A4" t="s">
        <v>215</v>
      </c>
      <c r="B4" t="str">
        <f>UPPER(A4)</f>
        <v>AMIT KUMA</v>
      </c>
      <c r="C4" t="str">
        <f>LOWER(A4)</f>
        <v>amit kuma</v>
      </c>
      <c r="D4" t="str">
        <f>PROPER(A4)</f>
        <v>Amit Kuma</v>
      </c>
      <c r="E4" t="s">
        <v>6</v>
      </c>
    </row>
    <row r="5" spans="1:5" ht="15" customHeight="1" x14ac:dyDescent="0.3">
      <c r="A5" t="s">
        <v>7</v>
      </c>
      <c r="B5" t="str">
        <f t="shared" ref="B5:B9" si="0">UPPER(A5)</f>
        <v>PRIYA SHARMA</v>
      </c>
      <c r="C5" t="str">
        <f t="shared" ref="C5:C9" si="1">LOWER(A5)</f>
        <v>priya sharma</v>
      </c>
      <c r="D5" t="str">
        <f t="shared" ref="D5:D9" si="2">PROPER(A5)</f>
        <v>Priya Sharma</v>
      </c>
      <c r="E5" t="s">
        <v>6</v>
      </c>
    </row>
    <row r="6" spans="1:5" ht="15" customHeight="1" x14ac:dyDescent="0.3">
      <c r="A6" t="s">
        <v>8</v>
      </c>
      <c r="B6" t="str">
        <f t="shared" si="0"/>
        <v>RAHUL SINGH</v>
      </c>
      <c r="C6" t="str">
        <f t="shared" si="1"/>
        <v>rahul singh</v>
      </c>
      <c r="D6" t="str">
        <f t="shared" si="2"/>
        <v>Rahul Singh</v>
      </c>
      <c r="E6" t="s">
        <v>6</v>
      </c>
    </row>
    <row r="7" spans="1:5" ht="15" customHeight="1" x14ac:dyDescent="0.3">
      <c r="A7" t="s">
        <v>9</v>
      </c>
      <c r="B7" t="str">
        <f t="shared" si="0"/>
        <v>NEW DELHI</v>
      </c>
      <c r="C7" t="str">
        <f t="shared" si="1"/>
        <v>new delhi</v>
      </c>
      <c r="D7" t="str">
        <f t="shared" si="2"/>
        <v>New Delhi</v>
      </c>
      <c r="E7" t="s">
        <v>6</v>
      </c>
    </row>
    <row r="8" spans="1:5" ht="15" customHeight="1" x14ac:dyDescent="0.3">
      <c r="A8" t="s">
        <v>10</v>
      </c>
      <c r="B8" t="str">
        <f t="shared" si="0"/>
        <v>MUMBAI INDIA</v>
      </c>
      <c r="C8" t="str">
        <f t="shared" si="1"/>
        <v>mumbai india</v>
      </c>
      <c r="D8" t="str">
        <f t="shared" si="2"/>
        <v>Mumbai India</v>
      </c>
      <c r="E8" t="s">
        <v>6</v>
      </c>
    </row>
    <row r="9" spans="1:5" ht="15" customHeight="1" x14ac:dyDescent="0.3">
      <c r="A9" t="s">
        <v>11</v>
      </c>
      <c r="B9" t="str">
        <f t="shared" si="0"/>
        <v>BANGALORE CITY</v>
      </c>
      <c r="C9" t="str">
        <f t="shared" si="1"/>
        <v>bangalore city</v>
      </c>
      <c r="D9" t="str">
        <f t="shared" si="2"/>
        <v>Bangalore City</v>
      </c>
      <c r="E9" t="s">
        <v>6</v>
      </c>
    </row>
    <row r="11" spans="1:5" ht="15" customHeight="1" x14ac:dyDescent="0.3">
      <c r="A11" s="16" t="s">
        <v>12</v>
      </c>
      <c r="B11" s="16"/>
      <c r="C11" s="16"/>
      <c r="D11" s="16"/>
      <c r="E11" s="16"/>
    </row>
  </sheetData>
  <mergeCells count="2">
    <mergeCell ref="A1:E1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45" zoomScaleNormal="145" workbookViewId="0">
      <selection activeCell="C4" sqref="C4:C9"/>
    </sheetView>
  </sheetViews>
  <sheetFormatPr defaultColWidth="8.6640625" defaultRowHeight="14.4" x14ac:dyDescent="0.3"/>
  <cols>
    <col min="1" max="1" width="30" customWidth="1"/>
    <col min="2" max="2" width="25" customWidth="1"/>
    <col min="3" max="3" width="20" customWidth="1"/>
    <col min="4" max="4" width="45" customWidth="1"/>
  </cols>
  <sheetData>
    <row r="1" spans="1:4" ht="17.25" customHeight="1" x14ac:dyDescent="0.3">
      <c r="A1" s="17" t="s">
        <v>13</v>
      </c>
      <c r="B1" s="17"/>
      <c r="C1" s="17"/>
      <c r="D1" s="17"/>
    </row>
    <row r="3" spans="1:4" ht="15" customHeight="1" x14ac:dyDescent="0.3">
      <c r="A3" s="3" t="s">
        <v>14</v>
      </c>
      <c r="B3" s="3" t="s">
        <v>15</v>
      </c>
      <c r="C3" s="3" t="s">
        <v>16</v>
      </c>
      <c r="D3" s="3" t="s">
        <v>17</v>
      </c>
    </row>
    <row r="4" spans="1:4" ht="15" customHeight="1" x14ac:dyDescent="0.3">
      <c r="A4" t="s">
        <v>18</v>
      </c>
      <c r="B4" t="str">
        <f>TRIM(A4)</f>
        <v>Amit Kumar</v>
      </c>
      <c r="C4" t="str">
        <f>TRIM(A4)</f>
        <v>Amit Kumar</v>
      </c>
      <c r="D4" t="s">
        <v>19</v>
      </c>
    </row>
    <row r="5" spans="1:4" ht="15" customHeight="1" x14ac:dyDescent="0.3">
      <c r="A5" t="s">
        <v>216</v>
      </c>
      <c r="B5" t="str">
        <f t="shared" ref="B5:B9" si="0">TRIM(A5)</f>
        <v>Priya Sharma</v>
      </c>
      <c r="C5" t="str">
        <f t="shared" ref="C5:C9" si="1">TRIM(A5)</f>
        <v>Priya Sharma</v>
      </c>
      <c r="D5" t="s">
        <v>19</v>
      </c>
    </row>
    <row r="6" spans="1:4" ht="15" customHeight="1" x14ac:dyDescent="0.3">
      <c r="A6" t="s">
        <v>217</v>
      </c>
      <c r="B6" t="str">
        <f t="shared" si="0"/>
        <v>Delhi</v>
      </c>
      <c r="C6" t="str">
        <f t="shared" si="1"/>
        <v>Delhi</v>
      </c>
      <c r="D6" t="s">
        <v>19</v>
      </c>
    </row>
    <row r="7" spans="1:4" ht="15" customHeight="1" x14ac:dyDescent="0.3">
      <c r="A7" t="s">
        <v>20</v>
      </c>
      <c r="B7" t="str">
        <f t="shared" si="0"/>
        <v>Product Name</v>
      </c>
      <c r="C7" t="str">
        <f t="shared" si="1"/>
        <v>Product Name</v>
      </c>
      <c r="D7" t="s">
        <v>19</v>
      </c>
    </row>
    <row r="8" spans="1:4" ht="15" customHeight="1" x14ac:dyDescent="0.3">
      <c r="A8" t="s">
        <v>21</v>
      </c>
      <c r="B8" t="str">
        <f t="shared" si="0"/>
        <v>Employee ID</v>
      </c>
      <c r="C8" t="str">
        <f t="shared" si="1"/>
        <v>Employee ID</v>
      </c>
      <c r="D8" t="s">
        <v>19</v>
      </c>
    </row>
    <row r="9" spans="1:4" ht="15" customHeight="1" x14ac:dyDescent="0.3">
      <c r="A9" t="s">
        <v>218</v>
      </c>
      <c r="B9" t="str">
        <f t="shared" si="0"/>
        <v>Mumbai Maharashtra</v>
      </c>
      <c r="C9" t="str">
        <f t="shared" si="1"/>
        <v>Mumbai Maharashtra</v>
      </c>
      <c r="D9" t="s">
        <v>19</v>
      </c>
    </row>
    <row r="11" spans="1:4" ht="15" customHeight="1" x14ac:dyDescent="0.3">
      <c r="A11" s="14" t="s">
        <v>22</v>
      </c>
      <c r="B11" s="14"/>
      <c r="C11" s="14"/>
      <c r="D11" s="14"/>
    </row>
  </sheetData>
  <mergeCells count="2">
    <mergeCell ref="A1:D1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="130" zoomScaleNormal="130" workbookViewId="0">
      <selection activeCell="F14" sqref="F14"/>
    </sheetView>
  </sheetViews>
  <sheetFormatPr defaultColWidth="8.6640625" defaultRowHeight="14.4" x14ac:dyDescent="0.3"/>
  <cols>
    <col min="1" max="2" width="15" customWidth="1"/>
    <col min="3" max="3" width="13.88671875" customWidth="1"/>
    <col min="4" max="4" width="30" customWidth="1"/>
    <col min="5" max="5" width="40" customWidth="1"/>
    <col min="6" max="6" width="30" customWidth="1"/>
    <col min="7" max="7" width="26.5546875" bestFit="1" customWidth="1"/>
  </cols>
  <sheetData>
    <row r="1" spans="1:6" ht="17.25" customHeight="1" x14ac:dyDescent="0.3">
      <c r="A1" s="18" t="s">
        <v>23</v>
      </c>
      <c r="B1" s="18"/>
      <c r="C1" s="18"/>
      <c r="D1" s="18"/>
      <c r="E1" s="18"/>
      <c r="F1" s="18"/>
    </row>
    <row r="3" spans="1:6" ht="15" customHeight="1" x14ac:dyDescent="0.3">
      <c r="A3" s="4" t="s">
        <v>24</v>
      </c>
      <c r="B3" s="4" t="s">
        <v>25</v>
      </c>
      <c r="C3" s="4" t="s">
        <v>26</v>
      </c>
      <c r="D3" s="4" t="s">
        <v>16</v>
      </c>
      <c r="E3" s="4" t="s">
        <v>27</v>
      </c>
      <c r="F3" s="4" t="s">
        <v>16</v>
      </c>
    </row>
    <row r="4" spans="1:6" ht="15" customHeight="1" x14ac:dyDescent="0.3">
      <c r="A4" t="s">
        <v>28</v>
      </c>
      <c r="B4" t="s">
        <v>29</v>
      </c>
      <c r="C4" t="str">
        <f>CONCATENATE(A4," ",B4)</f>
        <v>Amit Kumar</v>
      </c>
      <c r="D4" t="str">
        <f>CONCATENATE(A4," ",B4)</f>
        <v>Amit Kumar</v>
      </c>
      <c r="E4" t="str">
        <f>A4&amp;" "&amp;B4</f>
        <v>Amit Kumar</v>
      </c>
      <c r="F4" t="str">
        <f>A4&amp;" "&amp;B4</f>
        <v>Amit Kumar</v>
      </c>
    </row>
    <row r="5" spans="1:6" ht="15" customHeight="1" x14ac:dyDescent="0.3">
      <c r="A5" t="s">
        <v>30</v>
      </c>
      <c r="B5" t="s">
        <v>31</v>
      </c>
      <c r="C5" t="str">
        <f>CONCATENATE(A5," ",B5)</f>
        <v>Priya Sharma</v>
      </c>
      <c r="D5" t="str">
        <f t="shared" ref="D5:D8" si="0">CONCATENATE(A5," ",B5)</f>
        <v>Priya Sharma</v>
      </c>
      <c r="E5" t="str">
        <f t="shared" ref="E5:E8" si="1">A5&amp;" "&amp;B5</f>
        <v>Priya Sharma</v>
      </c>
      <c r="F5" t="str">
        <f t="shared" ref="F5:F8" si="2">A5&amp;" "&amp;B5</f>
        <v>Priya Sharma</v>
      </c>
    </row>
    <row r="6" spans="1:6" ht="15" customHeight="1" x14ac:dyDescent="0.3">
      <c r="A6" t="s">
        <v>32</v>
      </c>
      <c r="B6" t="s">
        <v>33</v>
      </c>
      <c r="C6" t="str">
        <f>CONCATENATE(A6," ",B6)</f>
        <v>Rahul Singh</v>
      </c>
      <c r="D6" t="str">
        <f t="shared" si="0"/>
        <v>Rahul Singh</v>
      </c>
      <c r="E6" t="str">
        <f t="shared" si="1"/>
        <v>Rahul Singh</v>
      </c>
      <c r="F6" t="str">
        <f t="shared" si="2"/>
        <v>Rahul Singh</v>
      </c>
    </row>
    <row r="7" spans="1:6" ht="15" customHeight="1" x14ac:dyDescent="0.3">
      <c r="A7" t="s">
        <v>34</v>
      </c>
      <c r="B7" t="s">
        <v>35</v>
      </c>
      <c r="C7" t="str">
        <f>CONCATENATE(A7," ",B7)</f>
        <v>Sneha Patel</v>
      </c>
      <c r="D7" t="str">
        <f t="shared" si="0"/>
        <v>Sneha Patel</v>
      </c>
      <c r="E7" t="str">
        <f t="shared" si="1"/>
        <v>Sneha Patel</v>
      </c>
      <c r="F7" t="str">
        <f t="shared" si="2"/>
        <v>Sneha Patel</v>
      </c>
    </row>
    <row r="8" spans="1:6" ht="15" customHeight="1" x14ac:dyDescent="0.3">
      <c r="A8" t="s">
        <v>36</v>
      </c>
      <c r="B8" t="s">
        <v>37</v>
      </c>
      <c r="C8" t="str">
        <f>CONCATENATE(A8," ",B8)</f>
        <v>Rohan Verma</v>
      </c>
      <c r="D8" t="str">
        <f t="shared" si="0"/>
        <v>Rohan Verma</v>
      </c>
      <c r="E8" t="str">
        <f t="shared" si="1"/>
        <v>Rohan Verma</v>
      </c>
      <c r="F8" t="str">
        <f t="shared" si="2"/>
        <v>Rohan Verma</v>
      </c>
    </row>
    <row r="10" spans="1:6" ht="15" customHeight="1" x14ac:dyDescent="0.3">
      <c r="A10" s="19" t="s">
        <v>38</v>
      </c>
      <c r="B10" s="19"/>
      <c r="C10" s="19"/>
      <c r="D10" s="19"/>
      <c r="E10" s="19"/>
      <c r="F10" s="19"/>
    </row>
    <row r="11" spans="1:6" ht="15" customHeight="1" x14ac:dyDescent="0.3">
      <c r="A11" s="4" t="s">
        <v>39</v>
      </c>
      <c r="B11" s="4" t="s">
        <v>40</v>
      </c>
      <c r="C11" s="4" t="s">
        <v>41</v>
      </c>
      <c r="D11" s="4" t="s">
        <v>42</v>
      </c>
      <c r="E11" s="4" t="s">
        <v>16</v>
      </c>
    </row>
    <row r="12" spans="1:6" ht="15" customHeight="1" x14ac:dyDescent="0.3">
      <c r="A12" t="s">
        <v>43</v>
      </c>
      <c r="B12" t="s">
        <v>44</v>
      </c>
      <c r="C12" t="s">
        <v>45</v>
      </c>
      <c r="D12" t="s">
        <v>237</v>
      </c>
      <c r="E12" t="str">
        <f>A12&amp;","&amp;B12&amp;"-"&amp;C12</f>
        <v>Mumbai,Maharashtra-400001</v>
      </c>
    </row>
    <row r="13" spans="1:6" ht="15" customHeight="1" x14ac:dyDescent="0.3">
      <c r="A13" t="s">
        <v>46</v>
      </c>
      <c r="B13" t="s">
        <v>46</v>
      </c>
      <c r="C13" t="s">
        <v>47</v>
      </c>
      <c r="D13" t="s">
        <v>238</v>
      </c>
      <c r="E13" t="str">
        <f t="shared" ref="E13:E15" si="3">A13&amp;","&amp;B13&amp;"-"&amp;C13</f>
        <v>Delhi,Delhi-110001</v>
      </c>
    </row>
    <row r="14" spans="1:6" ht="15" customHeight="1" x14ac:dyDescent="0.3">
      <c r="A14" t="s">
        <v>48</v>
      </c>
      <c r="B14" t="s">
        <v>49</v>
      </c>
      <c r="C14" t="s">
        <v>50</v>
      </c>
      <c r="D14" t="s">
        <v>239</v>
      </c>
      <c r="E14" t="str">
        <f t="shared" si="3"/>
        <v>Bangalore,Karnataka-560001</v>
      </c>
    </row>
    <row r="15" spans="1:6" ht="15" customHeight="1" x14ac:dyDescent="0.3">
      <c r="A15" t="s">
        <v>51</v>
      </c>
      <c r="B15" t="s">
        <v>52</v>
      </c>
      <c r="C15" t="s">
        <v>53</v>
      </c>
      <c r="D15" t="s">
        <v>240</v>
      </c>
      <c r="E15" t="str">
        <f t="shared" si="3"/>
        <v>Chennai,Tamil Nadu-600001</v>
      </c>
    </row>
    <row r="16" spans="1:6" x14ac:dyDescent="0.3">
      <c r="A16" t="s">
        <v>219</v>
      </c>
      <c r="B16" t="s">
        <v>220</v>
      </c>
      <c r="C16">
        <v>39002</v>
      </c>
      <c r="E16" t="str">
        <f>A16&amp;","&amp;B16&amp;"-"&amp;C16</f>
        <v>Vadodara,Gujarat-39002</v>
      </c>
    </row>
    <row r="17" spans="1:6" ht="15" customHeight="1" x14ac:dyDescent="0.3">
      <c r="A17" s="16" t="s">
        <v>54</v>
      </c>
      <c r="B17" s="16"/>
      <c r="C17" s="16"/>
      <c r="D17" s="16"/>
      <c r="E17" s="16"/>
      <c r="F17" s="16"/>
    </row>
  </sheetData>
  <mergeCells count="3">
    <mergeCell ref="A1:F1"/>
    <mergeCell ref="A10:F10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Normal="100" workbookViewId="0">
      <selection activeCell="B4" sqref="B4"/>
    </sheetView>
  </sheetViews>
  <sheetFormatPr defaultColWidth="8.6640625" defaultRowHeight="14.4" x14ac:dyDescent="0.3"/>
  <cols>
    <col min="1" max="1" width="18" customWidth="1"/>
    <col min="2" max="4" width="15" customWidth="1"/>
    <col min="5" max="5" width="45" customWidth="1"/>
    <col min="6" max="6" width="30" customWidth="1"/>
  </cols>
  <sheetData>
    <row r="1" spans="1:6" ht="17.25" customHeight="1" x14ac:dyDescent="0.3">
      <c r="A1" s="20" t="s">
        <v>55</v>
      </c>
      <c r="B1" s="20"/>
      <c r="C1" s="20"/>
      <c r="D1" s="20"/>
      <c r="E1" s="20"/>
      <c r="F1" s="20"/>
    </row>
    <row r="3" spans="1:6" ht="15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60</v>
      </c>
      <c r="F3" s="5" t="s">
        <v>5</v>
      </c>
    </row>
    <row r="4" spans="1:6" ht="15" customHeight="1" x14ac:dyDescent="0.3">
      <c r="A4" t="s">
        <v>61</v>
      </c>
      <c r="B4" t="str">
        <f>LEFT(A4,3)</f>
        <v>LAP</v>
      </c>
      <c r="C4" t="str">
        <f>RIGHT(A4,4)</f>
        <v>-001</v>
      </c>
      <c r="D4" t="str">
        <f>MID(A4,4,3)</f>
        <v>-20</v>
      </c>
      <c r="E4" t="str">
        <f>LEFT(A4,3)</f>
        <v>LAP</v>
      </c>
      <c r="F4" t="s">
        <v>62</v>
      </c>
    </row>
    <row r="5" spans="1:6" ht="15" customHeight="1" x14ac:dyDescent="0.3">
      <c r="A5" t="s">
        <v>63</v>
      </c>
      <c r="B5" t="str">
        <f t="shared" ref="B5:B8" si="0">LEFT(A5,3)</f>
        <v>MOB</v>
      </c>
      <c r="C5" t="str">
        <f t="shared" ref="C5:C8" si="1">RIGHT(A5,4)</f>
        <v>-002</v>
      </c>
      <c r="D5" t="str">
        <f t="shared" ref="D5:D8" si="2">MID(A5,4,3)</f>
        <v>-20</v>
      </c>
      <c r="E5" t="str">
        <f t="shared" ref="E5:E8" si="3">LEFT(A5,3)</f>
        <v>MOB</v>
      </c>
      <c r="F5" t="s">
        <v>62</v>
      </c>
    </row>
    <row r="6" spans="1:6" ht="15" customHeight="1" x14ac:dyDescent="0.3">
      <c r="A6" t="s">
        <v>64</v>
      </c>
      <c r="B6" t="str">
        <f t="shared" si="0"/>
        <v>TAB</v>
      </c>
      <c r="C6" t="str">
        <f t="shared" si="1"/>
        <v>-156</v>
      </c>
      <c r="D6" t="str">
        <f t="shared" si="2"/>
        <v>-20</v>
      </c>
      <c r="E6" t="str">
        <f t="shared" si="3"/>
        <v>TAB</v>
      </c>
      <c r="F6" t="s">
        <v>62</v>
      </c>
    </row>
    <row r="7" spans="1:6" ht="15" customHeight="1" x14ac:dyDescent="0.3">
      <c r="A7" t="s">
        <v>65</v>
      </c>
      <c r="B7" t="str">
        <f t="shared" si="0"/>
        <v>CAM</v>
      </c>
      <c r="C7" t="str">
        <f t="shared" si="1"/>
        <v>-089</v>
      </c>
      <c r="D7" t="str">
        <f t="shared" si="2"/>
        <v>-20</v>
      </c>
      <c r="E7" t="str">
        <f t="shared" si="3"/>
        <v>CAM</v>
      </c>
      <c r="F7" t="s">
        <v>62</v>
      </c>
    </row>
    <row r="8" spans="1:6" ht="15" customHeight="1" x14ac:dyDescent="0.3">
      <c r="A8" t="s">
        <v>66</v>
      </c>
      <c r="B8" t="str">
        <f t="shared" si="0"/>
        <v>HDP</v>
      </c>
      <c r="C8" t="str">
        <f t="shared" si="1"/>
        <v>-234</v>
      </c>
      <c r="D8" t="str">
        <f t="shared" si="2"/>
        <v>-20</v>
      </c>
      <c r="E8" t="str">
        <f t="shared" si="3"/>
        <v>HDP</v>
      </c>
      <c r="F8" t="s">
        <v>62</v>
      </c>
    </row>
    <row r="10" spans="1:6" ht="15" customHeight="1" x14ac:dyDescent="0.3">
      <c r="A10" s="19" t="s">
        <v>67</v>
      </c>
      <c r="B10" s="19"/>
      <c r="C10" s="19"/>
      <c r="D10" s="19"/>
      <c r="E10" s="19"/>
      <c r="F10" s="19"/>
    </row>
    <row r="11" spans="1:6" ht="15" customHeight="1" x14ac:dyDescent="0.3">
      <c r="A11" s="5" t="s">
        <v>68</v>
      </c>
      <c r="B11" s="5" t="s">
        <v>69</v>
      </c>
      <c r="C11" s="5" t="s">
        <v>70</v>
      </c>
      <c r="D11" s="5" t="s">
        <v>71</v>
      </c>
      <c r="E11" s="5" t="s">
        <v>72</v>
      </c>
    </row>
    <row r="12" spans="1:6" ht="15" customHeight="1" x14ac:dyDescent="0.3">
      <c r="A12" t="s">
        <v>73</v>
      </c>
      <c r="B12" t="str">
        <f>LEFT(A12,3)</f>
        <v>022</v>
      </c>
      <c r="C12" t="str">
        <f>RIGHT(A12,4)</f>
        <v>6789</v>
      </c>
      <c r="D12" t="str">
        <f>MID(A12,5,4)</f>
        <v>2345</v>
      </c>
      <c r="E12" t="s">
        <v>74</v>
      </c>
    </row>
    <row r="13" spans="1:6" ht="15" customHeight="1" x14ac:dyDescent="0.3">
      <c r="A13" t="s">
        <v>75</v>
      </c>
      <c r="B13" t="str">
        <f t="shared" ref="B13:B15" si="4">LEFT(A13,3)</f>
        <v>011</v>
      </c>
      <c r="C13" t="str">
        <f t="shared" ref="C13:C15" si="5">RIGHT(A13,4)</f>
        <v>8901</v>
      </c>
      <c r="D13" t="str">
        <f t="shared" ref="D13:D15" si="6">MID(A13,5,4)</f>
        <v>4567</v>
      </c>
      <c r="E13" t="s">
        <v>76</v>
      </c>
    </row>
    <row r="14" spans="1:6" ht="15" customHeight="1" x14ac:dyDescent="0.3">
      <c r="A14" t="s">
        <v>77</v>
      </c>
      <c r="B14" t="str">
        <f t="shared" si="4"/>
        <v>080</v>
      </c>
      <c r="C14" t="str">
        <f t="shared" si="5"/>
        <v>1234</v>
      </c>
      <c r="D14" t="str">
        <f t="shared" si="6"/>
        <v>7890</v>
      </c>
      <c r="E14" t="s">
        <v>78</v>
      </c>
    </row>
    <row r="15" spans="1:6" ht="15" customHeight="1" x14ac:dyDescent="0.3">
      <c r="A15" t="s">
        <v>79</v>
      </c>
      <c r="B15" t="str">
        <f t="shared" si="4"/>
        <v>044</v>
      </c>
      <c r="C15" t="str">
        <f t="shared" si="5"/>
        <v>7890</v>
      </c>
      <c r="D15" t="str">
        <f t="shared" si="6"/>
        <v>3456</v>
      </c>
      <c r="E15" t="s">
        <v>80</v>
      </c>
    </row>
    <row r="17" spans="1:6" ht="15" customHeight="1" x14ac:dyDescent="0.3">
      <c r="A17" s="16" t="s">
        <v>81</v>
      </c>
      <c r="B17" s="16"/>
      <c r="C17" s="16"/>
      <c r="D17" s="16"/>
      <c r="E17" s="16"/>
      <c r="F17" s="16"/>
    </row>
  </sheetData>
  <mergeCells count="3">
    <mergeCell ref="A1:F1"/>
    <mergeCell ref="A10:F10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topLeftCell="A3" zoomScaleNormal="100" workbookViewId="0">
      <selection activeCell="D13" sqref="D13:D17"/>
    </sheetView>
  </sheetViews>
  <sheetFormatPr defaultColWidth="8.6640625" defaultRowHeight="14.4" x14ac:dyDescent="0.3"/>
  <cols>
    <col min="1" max="1" width="25" customWidth="1"/>
    <col min="2" max="2" width="10" customWidth="1"/>
    <col min="3" max="4" width="15" customWidth="1"/>
    <col min="5" max="5" width="35" customWidth="1"/>
  </cols>
  <sheetData>
    <row r="1" spans="1:6" ht="17.25" customHeight="1" x14ac:dyDescent="0.3">
      <c r="A1" s="21" t="s">
        <v>82</v>
      </c>
      <c r="B1" s="21"/>
      <c r="C1" s="21"/>
      <c r="D1" s="21"/>
      <c r="E1" s="21"/>
    </row>
    <row r="3" spans="1:6" ht="15" customHeight="1" x14ac:dyDescent="0.3">
      <c r="A3" s="6" t="s">
        <v>83</v>
      </c>
      <c r="B3" s="6" t="s">
        <v>84</v>
      </c>
      <c r="C3" s="6" t="s">
        <v>16</v>
      </c>
      <c r="D3" s="6" t="s">
        <v>85</v>
      </c>
      <c r="E3" s="6" t="s">
        <v>86</v>
      </c>
    </row>
    <row r="4" spans="1:6" ht="15" customHeight="1" x14ac:dyDescent="0.3">
      <c r="A4" t="s">
        <v>227</v>
      </c>
      <c r="B4">
        <f>LEN(A4)</f>
        <v>9</v>
      </c>
      <c r="D4" t="str">
        <f>IF(B4&gt;=3,"valid","short")</f>
        <v>valid</v>
      </c>
      <c r="E4" t="s">
        <v>87</v>
      </c>
      <c r="F4" t="s">
        <v>221</v>
      </c>
    </row>
    <row r="5" spans="1:6" ht="15" customHeight="1" x14ac:dyDescent="0.3">
      <c r="A5" t="s">
        <v>88</v>
      </c>
      <c r="B5">
        <f t="shared" ref="B5:B9" si="0">LEN(A5)</f>
        <v>12</v>
      </c>
      <c r="D5" t="str">
        <f t="shared" ref="D5:D9" si="1">IF(B5&gt;=3,"valid","short")</f>
        <v>valid</v>
      </c>
      <c r="E5" t="s">
        <v>87</v>
      </c>
    </row>
    <row r="6" spans="1:6" ht="15" customHeight="1" x14ac:dyDescent="0.3">
      <c r="A6" t="s">
        <v>89</v>
      </c>
      <c r="B6">
        <f t="shared" si="0"/>
        <v>2</v>
      </c>
      <c r="D6" t="str">
        <f t="shared" si="1"/>
        <v>short</v>
      </c>
      <c r="E6" t="s">
        <v>87</v>
      </c>
    </row>
    <row r="7" spans="1:6" ht="15" customHeight="1" x14ac:dyDescent="0.3">
      <c r="A7" t="s">
        <v>90</v>
      </c>
      <c r="B7">
        <f t="shared" si="0"/>
        <v>17</v>
      </c>
      <c r="D7" t="str">
        <f t="shared" si="1"/>
        <v>valid</v>
      </c>
      <c r="E7" t="s">
        <v>87</v>
      </c>
    </row>
    <row r="8" spans="1:6" ht="15" customHeight="1" x14ac:dyDescent="0.3">
      <c r="A8" t="s">
        <v>91</v>
      </c>
      <c r="B8">
        <f t="shared" si="0"/>
        <v>2</v>
      </c>
      <c r="D8" t="str">
        <f t="shared" si="1"/>
        <v>short</v>
      </c>
      <c r="E8" t="s">
        <v>87</v>
      </c>
    </row>
    <row r="9" spans="1:6" ht="15" customHeight="1" x14ac:dyDescent="0.3">
      <c r="A9" t="s">
        <v>92</v>
      </c>
      <c r="B9">
        <f t="shared" si="0"/>
        <v>11</v>
      </c>
      <c r="D9" t="str">
        <f t="shared" si="1"/>
        <v>valid</v>
      </c>
      <c r="E9" t="s">
        <v>87</v>
      </c>
    </row>
    <row r="11" spans="1:6" ht="15" customHeight="1" x14ac:dyDescent="0.3">
      <c r="A11" s="19" t="s">
        <v>93</v>
      </c>
      <c r="B11" s="19"/>
      <c r="C11" s="19"/>
      <c r="D11" s="19"/>
      <c r="E11" s="19"/>
    </row>
    <row r="12" spans="1:6" ht="15" customHeight="1" x14ac:dyDescent="0.3">
      <c r="A12" s="6" t="s">
        <v>94</v>
      </c>
      <c r="B12" s="6" t="s">
        <v>84</v>
      </c>
      <c r="C12" s="6" t="s">
        <v>16</v>
      </c>
      <c r="D12" s="6" t="s">
        <v>95</v>
      </c>
      <c r="E12" s="6" t="s">
        <v>96</v>
      </c>
    </row>
    <row r="13" spans="1:6" ht="15" customHeight="1" x14ac:dyDescent="0.3">
      <c r="A13" t="s">
        <v>97</v>
      </c>
      <c r="B13">
        <f>LEN(A13)</f>
        <v>7</v>
      </c>
      <c r="D13" t="str">
        <f>IF(B13&gt;=8,"strong","weak")</f>
        <v>weak</v>
      </c>
      <c r="E13" t="s">
        <v>98</v>
      </c>
      <c r="F13" t="s">
        <v>222</v>
      </c>
    </row>
    <row r="14" spans="1:6" ht="15" customHeight="1" x14ac:dyDescent="0.3">
      <c r="A14" t="s">
        <v>99</v>
      </c>
      <c r="B14">
        <f t="shared" ref="B14:B17" si="2">LEN(A14)</f>
        <v>20</v>
      </c>
      <c r="D14" t="str">
        <f t="shared" ref="D14:D17" si="3">IF(B14&gt;=8,"strong","weak")</f>
        <v>strong</v>
      </c>
      <c r="E14" t="s">
        <v>98</v>
      </c>
    </row>
    <row r="15" spans="1:6" ht="15" customHeight="1" x14ac:dyDescent="0.3">
      <c r="A15" t="s">
        <v>100</v>
      </c>
      <c r="B15">
        <f t="shared" si="2"/>
        <v>3</v>
      </c>
      <c r="D15" t="str">
        <f t="shared" si="3"/>
        <v>weak</v>
      </c>
      <c r="E15" t="s">
        <v>98</v>
      </c>
    </row>
    <row r="16" spans="1:6" ht="15" customHeight="1" x14ac:dyDescent="0.3">
      <c r="A16" t="s">
        <v>101</v>
      </c>
      <c r="B16">
        <f t="shared" si="2"/>
        <v>10</v>
      </c>
      <c r="D16" t="str">
        <f t="shared" si="3"/>
        <v>strong</v>
      </c>
      <c r="E16" t="s">
        <v>98</v>
      </c>
    </row>
    <row r="17" spans="1:5" ht="15" customHeight="1" x14ac:dyDescent="0.3">
      <c r="A17" t="s">
        <v>102</v>
      </c>
      <c r="B17">
        <f t="shared" si="2"/>
        <v>5</v>
      </c>
      <c r="D17" t="str">
        <f t="shared" si="3"/>
        <v>weak</v>
      </c>
      <c r="E17" t="s">
        <v>98</v>
      </c>
    </row>
    <row r="19" spans="1:5" ht="15" customHeight="1" x14ac:dyDescent="0.3">
      <c r="A19" s="16" t="s">
        <v>103</v>
      </c>
      <c r="B19" s="16"/>
      <c r="C19" s="16"/>
      <c r="D19" s="16"/>
      <c r="E19" s="16"/>
    </row>
  </sheetData>
  <mergeCells count="3">
    <mergeCell ref="A1:E1"/>
    <mergeCell ref="A11:E11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topLeftCell="A2" zoomScale="126" zoomScaleNormal="160" workbookViewId="0">
      <selection activeCell="D12" sqref="D12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2" customWidth="1"/>
    <col min="4" max="4" width="16.5546875" customWidth="1"/>
    <col min="5" max="6" width="30" customWidth="1"/>
    <col min="7" max="7" width="11.6640625" customWidth="1"/>
  </cols>
  <sheetData>
    <row r="1" spans="1:7" ht="17.25" customHeight="1" x14ac:dyDescent="0.3">
      <c r="A1" s="22" t="s">
        <v>104</v>
      </c>
      <c r="B1" s="22"/>
      <c r="C1" s="22"/>
      <c r="D1" s="22"/>
      <c r="E1" s="22"/>
      <c r="F1" s="22"/>
    </row>
    <row r="3" spans="1:7" ht="15" customHeight="1" x14ac:dyDescent="0.3">
      <c r="A3" s="7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</row>
    <row r="4" spans="1:7" ht="15" customHeight="1" x14ac:dyDescent="0.3">
      <c r="A4" t="s">
        <v>111</v>
      </c>
      <c r="B4">
        <f>FIND("@",A4)</f>
        <v>5</v>
      </c>
      <c r="C4">
        <f>FIND(".",A4)</f>
        <v>11</v>
      </c>
      <c r="D4" t="str">
        <f>LEFT(A4,FIND("@",A4)-1)</f>
        <v>amit</v>
      </c>
      <c r="E4" t="str">
        <f>MID(A4,FIND("@",A4)+1,15)</f>
        <v>gmail.com</v>
      </c>
      <c r="F4" t="s">
        <v>112</v>
      </c>
      <c r="G4" t="s">
        <v>225</v>
      </c>
    </row>
    <row r="5" spans="1:7" ht="15" customHeight="1" x14ac:dyDescent="0.3">
      <c r="A5" t="s">
        <v>113</v>
      </c>
      <c r="B5">
        <f t="shared" ref="B5:B8" si="0">FIND("@",A5)</f>
        <v>6</v>
      </c>
      <c r="C5">
        <f t="shared" ref="C5:C8" si="1">FIND(".",A5)</f>
        <v>12</v>
      </c>
      <c r="D5" t="str">
        <f t="shared" ref="D5:D8" si="2">LEFT(A5,FIND("@",A5)-1)</f>
        <v>priya</v>
      </c>
      <c r="E5" t="str">
        <f t="shared" ref="E5:E8" si="3">MID(A5,FIND("@",A5)+1,15)</f>
        <v>yahoo.com</v>
      </c>
      <c r="F5" t="s">
        <v>112</v>
      </c>
      <c r="G5" t="s">
        <v>226</v>
      </c>
    </row>
    <row r="6" spans="1:7" ht="15" customHeight="1" x14ac:dyDescent="0.3">
      <c r="A6" t="s">
        <v>114</v>
      </c>
      <c r="B6">
        <f t="shared" si="0"/>
        <v>6</v>
      </c>
      <c r="C6">
        <f t="shared" si="1"/>
        <v>14</v>
      </c>
      <c r="D6" t="str">
        <f t="shared" si="2"/>
        <v>rahul</v>
      </c>
      <c r="E6" t="str">
        <f t="shared" si="3"/>
        <v>outlook.com</v>
      </c>
      <c r="F6" t="s">
        <v>112</v>
      </c>
    </row>
    <row r="7" spans="1:7" ht="15" customHeight="1" x14ac:dyDescent="0.3">
      <c r="A7" t="s">
        <v>115</v>
      </c>
      <c r="B7">
        <f t="shared" si="0"/>
        <v>6</v>
      </c>
      <c r="C7">
        <f t="shared" si="1"/>
        <v>14</v>
      </c>
      <c r="D7" t="str">
        <f t="shared" si="2"/>
        <v>sneha</v>
      </c>
      <c r="E7" t="str">
        <f t="shared" si="3"/>
        <v>company.in</v>
      </c>
      <c r="F7" t="s">
        <v>112</v>
      </c>
    </row>
    <row r="8" spans="1:7" ht="15" customHeight="1" x14ac:dyDescent="0.3">
      <c r="A8" t="s">
        <v>116</v>
      </c>
      <c r="B8">
        <f t="shared" si="0"/>
        <v>6</v>
      </c>
      <c r="C8">
        <f t="shared" si="1"/>
        <v>11</v>
      </c>
      <c r="D8" t="str">
        <f t="shared" si="2"/>
        <v>rohan</v>
      </c>
      <c r="E8" t="str">
        <f t="shared" si="3"/>
        <v>mail.org</v>
      </c>
      <c r="F8" t="s">
        <v>112</v>
      </c>
    </row>
    <row r="10" spans="1:7" ht="15" customHeight="1" x14ac:dyDescent="0.3">
      <c r="A10" s="19" t="s">
        <v>117</v>
      </c>
      <c r="B10" s="19"/>
      <c r="C10" s="19"/>
      <c r="D10" s="19"/>
      <c r="E10" s="19"/>
      <c r="F10" s="19"/>
    </row>
    <row r="11" spans="1:7" ht="15" customHeight="1" x14ac:dyDescent="0.3">
      <c r="A11" s="7" t="s">
        <v>118</v>
      </c>
      <c r="B11" s="7" t="s">
        <v>119</v>
      </c>
      <c r="C11" s="7" t="s">
        <v>120</v>
      </c>
      <c r="D11" s="7" t="s">
        <v>16</v>
      </c>
      <c r="E11" s="7" t="s">
        <v>5</v>
      </c>
    </row>
    <row r="12" spans="1:7" ht="15" customHeight="1" x14ac:dyDescent="0.3">
      <c r="A12" t="s">
        <v>121</v>
      </c>
      <c r="B12">
        <f>IFERROR(SEARCH("Pro",A12),"not found")</f>
        <v>8</v>
      </c>
      <c r="C12" t="str">
        <f>IFERROR(IF(SEARCH("Pro",A12),"Yes"),"No")</f>
        <v>Yes</v>
      </c>
      <c r="D12" t="str">
        <f>IF(ISNUMBER(SEARCH("Pro",A12)),"yes","no")</f>
        <v>yes</v>
      </c>
      <c r="F12" t="s">
        <v>223</v>
      </c>
    </row>
    <row r="13" spans="1:7" ht="15" customHeight="1" x14ac:dyDescent="0.3">
      <c r="A13" t="s">
        <v>122</v>
      </c>
      <c r="B13" t="str">
        <f t="shared" ref="B13:B16" si="4">IFERROR(SEARCH("Pro",A13),"not found")</f>
        <v>not found</v>
      </c>
      <c r="C13" t="str">
        <f t="shared" ref="C13:C16" si="5">IFERROR(IF(SEARCH("Pro",A13),"Yes"),"No")</f>
        <v>No</v>
      </c>
      <c r="D13" t="str">
        <f t="shared" ref="D13:D16" si="6">IF(ISNUMBER(SEARCH("Pro",A13)),"yes","no")</f>
        <v>no</v>
      </c>
      <c r="F13" t="s">
        <v>224</v>
      </c>
    </row>
    <row r="14" spans="1:7" ht="15" customHeight="1" x14ac:dyDescent="0.3">
      <c r="A14" t="s">
        <v>123</v>
      </c>
      <c r="B14">
        <f t="shared" si="4"/>
        <v>9</v>
      </c>
      <c r="C14" t="str">
        <f t="shared" si="5"/>
        <v>Yes</v>
      </c>
      <c r="D14" t="str">
        <f t="shared" si="6"/>
        <v>yes</v>
      </c>
    </row>
    <row r="15" spans="1:7" ht="15" customHeight="1" x14ac:dyDescent="0.3">
      <c r="A15" t="s">
        <v>124</v>
      </c>
      <c r="B15" t="str">
        <f t="shared" si="4"/>
        <v>not found</v>
      </c>
      <c r="C15" t="str">
        <f t="shared" si="5"/>
        <v>No</v>
      </c>
      <c r="D15" t="str">
        <f t="shared" si="6"/>
        <v>no</v>
      </c>
    </row>
    <row r="16" spans="1:7" ht="15" customHeight="1" x14ac:dyDescent="0.3">
      <c r="A16" t="s">
        <v>125</v>
      </c>
      <c r="B16">
        <f t="shared" si="4"/>
        <v>6</v>
      </c>
      <c r="C16" t="str">
        <f t="shared" si="5"/>
        <v>Yes</v>
      </c>
      <c r="D16" t="str">
        <f t="shared" si="6"/>
        <v>yes</v>
      </c>
    </row>
    <row r="18" spans="1:6" ht="15" customHeight="1" x14ac:dyDescent="0.3">
      <c r="A18" s="16" t="s">
        <v>126</v>
      </c>
      <c r="B18" s="16"/>
      <c r="C18" s="16"/>
      <c r="D18" s="16"/>
      <c r="E18" s="16"/>
      <c r="F18" s="16"/>
    </row>
  </sheetData>
  <mergeCells count="3">
    <mergeCell ref="A1:F1"/>
    <mergeCell ref="A10:F10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zoomScale="130" zoomScaleNormal="130" workbookViewId="0">
      <selection activeCell="D4" sqref="D4"/>
    </sheetView>
  </sheetViews>
  <sheetFormatPr defaultColWidth="8.6640625" defaultRowHeight="14.4" x14ac:dyDescent="0.3"/>
  <cols>
    <col min="1" max="1" width="25" customWidth="1"/>
    <col min="2" max="2" width="20" customWidth="1"/>
    <col min="3" max="3" width="18" customWidth="1"/>
    <col min="4" max="4" width="30" customWidth="1"/>
    <col min="5" max="5" width="40" customWidth="1"/>
    <col min="6" max="6" width="15.21875" customWidth="1"/>
  </cols>
  <sheetData>
    <row r="1" spans="1:5" ht="17.25" customHeight="1" x14ac:dyDescent="0.3">
      <c r="A1" s="23" t="s">
        <v>127</v>
      </c>
      <c r="B1" s="23"/>
      <c r="C1" s="23"/>
      <c r="D1" s="23"/>
      <c r="E1" s="23"/>
    </row>
    <row r="3" spans="1:5" ht="15" customHeight="1" x14ac:dyDescent="0.3">
      <c r="A3" s="8" t="s">
        <v>1</v>
      </c>
      <c r="B3" s="8" t="s">
        <v>128</v>
      </c>
      <c r="C3" s="8" t="s">
        <v>129</v>
      </c>
      <c r="D3" s="8" t="s">
        <v>130</v>
      </c>
      <c r="E3" s="8" t="s">
        <v>16</v>
      </c>
    </row>
    <row r="4" spans="1:5" ht="15" customHeight="1" x14ac:dyDescent="0.3">
      <c r="A4" t="s">
        <v>131</v>
      </c>
      <c r="B4" t="s">
        <v>132</v>
      </c>
      <c r="C4" t="s">
        <v>133</v>
      </c>
      <c r="D4" t="str">
        <f>SUBSTITUTE(A4,B4,C4)</f>
        <v>Hello India</v>
      </c>
    </row>
    <row r="5" spans="1:5" ht="15" customHeight="1" x14ac:dyDescent="0.3">
      <c r="A5" t="s">
        <v>111</v>
      </c>
      <c r="B5" t="s">
        <v>134</v>
      </c>
      <c r="C5" t="s">
        <v>135</v>
      </c>
      <c r="D5" t="str">
        <f t="shared" ref="D5:D8" si="0">SUBSTITUTE(A5,B5,C5)</f>
        <v>amit@yahoo.com</v>
      </c>
    </row>
    <row r="6" spans="1:5" ht="15" customHeight="1" x14ac:dyDescent="0.3">
      <c r="A6" t="s">
        <v>136</v>
      </c>
      <c r="B6" t="s">
        <v>137</v>
      </c>
      <c r="C6" t="s">
        <v>138</v>
      </c>
      <c r="D6" t="str">
        <f t="shared" si="0"/>
        <v>Product_2024</v>
      </c>
    </row>
    <row r="7" spans="1:5" ht="15" customHeight="1" x14ac:dyDescent="0.3">
      <c r="A7" t="s">
        <v>139</v>
      </c>
      <c r="B7" t="s">
        <v>140</v>
      </c>
      <c r="C7" t="s">
        <v>141</v>
      </c>
      <c r="D7" t="str">
        <f t="shared" si="0"/>
        <v>Phone - 9876543210</v>
      </c>
    </row>
    <row r="8" spans="1:5" ht="15" customHeight="1" x14ac:dyDescent="0.3">
      <c r="A8" t="s">
        <v>142</v>
      </c>
      <c r="B8" t="s">
        <v>143</v>
      </c>
      <c r="C8" t="s">
        <v>144</v>
      </c>
      <c r="D8" t="str">
        <f t="shared" si="0"/>
        <v>Ms. Sharma</v>
      </c>
    </row>
    <row r="10" spans="1:5" ht="15" customHeight="1" x14ac:dyDescent="0.3">
      <c r="A10" s="19" t="s">
        <v>145</v>
      </c>
      <c r="B10" s="19"/>
      <c r="C10" s="19"/>
      <c r="D10" s="19"/>
      <c r="E10" s="19"/>
    </row>
    <row r="11" spans="1:5" ht="15" customHeight="1" x14ac:dyDescent="0.3">
      <c r="A11" s="8" t="s">
        <v>146</v>
      </c>
      <c r="B11" s="8" t="s">
        <v>147</v>
      </c>
      <c r="C11" s="8" t="s">
        <v>148</v>
      </c>
      <c r="D11" s="8" t="s">
        <v>149</v>
      </c>
      <c r="E11" s="8" t="s">
        <v>150</v>
      </c>
    </row>
    <row r="12" spans="1:5" ht="15" customHeight="1" x14ac:dyDescent="0.3">
      <c r="A12" t="s">
        <v>73</v>
      </c>
      <c r="B12" t="str">
        <f>SUBSTITUTE(A12," ","")</f>
        <v>022-2345-6789</v>
      </c>
      <c r="C12" t="str">
        <f>SUBSTITUTE(B12,"-","")</f>
        <v>02223456789</v>
      </c>
      <c r="D12" t="str">
        <f>SUBSTITUTE(C12,"+","")</f>
        <v>02223456789</v>
      </c>
      <c r="E12" t="s">
        <v>151</v>
      </c>
    </row>
    <row r="13" spans="1:5" ht="15" customHeight="1" x14ac:dyDescent="0.3">
      <c r="A13" t="s">
        <v>152</v>
      </c>
      <c r="B13" t="str">
        <f t="shared" ref="B13:B15" si="1">SUBSTITUTE(A13," ","")</f>
        <v>01145678901</v>
      </c>
      <c r="C13" t="str">
        <f t="shared" ref="C13:C15" si="2">SUBSTITUTE(B13,"-","")</f>
        <v>01145678901</v>
      </c>
      <c r="D13" t="str">
        <f t="shared" ref="D13:D15" si="3">SUBSTITUTE(C13,"+","")</f>
        <v>01145678901</v>
      </c>
      <c r="E13" t="s">
        <v>151</v>
      </c>
    </row>
    <row r="14" spans="1:5" ht="15" customHeight="1" x14ac:dyDescent="0.3">
      <c r="A14" t="s">
        <v>153</v>
      </c>
      <c r="B14" t="str">
        <f t="shared" si="1"/>
        <v>+91-98765-43210</v>
      </c>
      <c r="C14" t="str">
        <f t="shared" si="2"/>
        <v>+919876543210</v>
      </c>
      <c r="D14" t="str">
        <f t="shared" si="3"/>
        <v>919876543210</v>
      </c>
      <c r="E14" t="s">
        <v>151</v>
      </c>
    </row>
    <row r="15" spans="1:5" ht="15" customHeight="1" x14ac:dyDescent="0.3">
      <c r="A15" t="s">
        <v>154</v>
      </c>
      <c r="B15" t="str">
        <f t="shared" si="1"/>
        <v>08078901234</v>
      </c>
      <c r="C15" t="str">
        <f t="shared" si="2"/>
        <v>08078901234</v>
      </c>
      <c r="D15" t="str">
        <f t="shared" si="3"/>
        <v>08078901234</v>
      </c>
      <c r="E15" t="s">
        <v>151</v>
      </c>
    </row>
    <row r="17" spans="1:5" ht="15" customHeight="1" x14ac:dyDescent="0.3">
      <c r="A17" s="16" t="s">
        <v>155</v>
      </c>
      <c r="B17" s="16"/>
      <c r="C17" s="16"/>
      <c r="D17" s="16"/>
      <c r="E17" s="16"/>
    </row>
  </sheetData>
  <mergeCells count="3">
    <mergeCell ref="A1:E1"/>
    <mergeCell ref="A10:E10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0E22-F9BA-42B8-828D-99A2060C6C85}">
  <dimension ref="A1:M8"/>
  <sheetViews>
    <sheetView workbookViewId="0">
      <selection activeCell="L9" sqref="L9"/>
    </sheetView>
  </sheetViews>
  <sheetFormatPr defaultRowHeight="14.4" x14ac:dyDescent="0.3"/>
  <cols>
    <col min="1" max="1" width="8.77734375" style="12"/>
    <col min="2" max="2" width="9.33203125" customWidth="1"/>
    <col min="5" max="5" width="14.109375" bestFit="1" customWidth="1"/>
    <col min="8" max="8" width="9.77734375" bestFit="1" customWidth="1"/>
    <col min="9" max="9" width="11.21875" bestFit="1" customWidth="1"/>
    <col min="10" max="10" width="13.77734375" bestFit="1" customWidth="1"/>
    <col min="11" max="11" width="9.44140625" bestFit="1" customWidth="1"/>
    <col min="12" max="12" width="33.21875" customWidth="1"/>
    <col min="13" max="13" width="34.21875" bestFit="1" customWidth="1"/>
  </cols>
  <sheetData>
    <row r="1" spans="1:13" x14ac:dyDescent="0.3">
      <c r="A1" s="12" t="s">
        <v>228</v>
      </c>
      <c r="B1" t="s">
        <v>200</v>
      </c>
      <c r="C1" t="s">
        <v>229</v>
      </c>
      <c r="E1" t="s">
        <v>243</v>
      </c>
      <c r="F1" t="s">
        <v>241</v>
      </c>
      <c r="G1" t="s">
        <v>242</v>
      </c>
      <c r="H1" t="s">
        <v>244</v>
      </c>
      <c r="I1" t="s">
        <v>245</v>
      </c>
      <c r="J1" t="s">
        <v>255</v>
      </c>
      <c r="K1" t="s">
        <v>256</v>
      </c>
      <c r="L1" t="s">
        <v>254</v>
      </c>
      <c r="M1" t="s">
        <v>246</v>
      </c>
    </row>
    <row r="2" spans="1:13" x14ac:dyDescent="0.3">
      <c r="A2" s="12">
        <v>46025</v>
      </c>
      <c r="B2" t="s">
        <v>230</v>
      </c>
      <c r="C2">
        <v>122</v>
      </c>
      <c r="E2" t="str">
        <f>TEXT(A2,"dddd")</f>
        <v>Saturday</v>
      </c>
      <c r="F2" t="str">
        <f>TEXT(A2,"mmm")</f>
        <v>Jan</v>
      </c>
      <c r="G2" t="str">
        <f>TEXT(A2,"yyyy")</f>
        <v>2026</v>
      </c>
      <c r="H2" t="str">
        <f>TEXT(A2,"mmmm")</f>
        <v>January</v>
      </c>
      <c r="I2" t="str">
        <f>TEXT(A2,"yy")</f>
        <v>26</v>
      </c>
      <c r="J2" t="str">
        <f>TEXT(A2,"ddd")</f>
        <v>Sat</v>
      </c>
      <c r="K2" t="str">
        <f>TEXT(A2,"dd")</f>
        <v>03</v>
      </c>
      <c r="L2" t="str">
        <f>CONCATENATE(B2," is earned on",E2," amount rs.",C2)</f>
        <v>Test1 is earned onSaturday amount rs.122</v>
      </c>
      <c r="M2" t="s">
        <v>247</v>
      </c>
    </row>
    <row r="3" spans="1:13" x14ac:dyDescent="0.3">
      <c r="A3" s="12">
        <v>46026</v>
      </c>
      <c r="B3" t="s">
        <v>231</v>
      </c>
      <c r="C3">
        <v>322</v>
      </c>
      <c r="E3" t="str">
        <f t="shared" ref="E3:E8" si="0">TEXT(A3,"dddd")</f>
        <v>Sunday</v>
      </c>
      <c r="F3" t="str">
        <f t="shared" ref="F3:F8" si="1">TEXT(A3,"mmm")</f>
        <v>Jan</v>
      </c>
      <c r="G3" t="str">
        <f t="shared" ref="G3:G8" si="2">TEXT(A3,"yyyy")</f>
        <v>2026</v>
      </c>
      <c r="H3" t="str">
        <f t="shared" ref="H3:H8" si="3">TEXT(A3,"mmmm")</f>
        <v>January</v>
      </c>
      <c r="I3" t="str">
        <f t="shared" ref="I3:I8" si="4">TEXT(A3,"yy")</f>
        <v>26</v>
      </c>
      <c r="J3" t="str">
        <f t="shared" ref="J3:J8" si="5">TEXT(A3,"ddd")</f>
        <v>Sun</v>
      </c>
      <c r="K3" t="str">
        <f t="shared" ref="K3:K8" si="6">TEXT(A3,"dd")</f>
        <v>04</v>
      </c>
      <c r="L3" t="str">
        <f t="shared" ref="L3:L8" si="7">CONCATENATE(B3," is earned on",E3," amount rs.",C3)</f>
        <v>Test2 is earned onSunday amount rs.322</v>
      </c>
      <c r="M3" t="s">
        <v>248</v>
      </c>
    </row>
    <row r="4" spans="1:13" x14ac:dyDescent="0.3">
      <c r="A4" s="12">
        <v>46027</v>
      </c>
      <c r="B4" t="s">
        <v>232</v>
      </c>
      <c r="C4">
        <v>234</v>
      </c>
      <c r="E4" t="str">
        <f t="shared" si="0"/>
        <v>Monday</v>
      </c>
      <c r="F4" t="str">
        <f t="shared" si="1"/>
        <v>Jan</v>
      </c>
      <c r="G4" t="str">
        <f t="shared" si="2"/>
        <v>2026</v>
      </c>
      <c r="H4" t="str">
        <f t="shared" si="3"/>
        <v>January</v>
      </c>
      <c r="I4" t="str">
        <f t="shared" si="4"/>
        <v>26</v>
      </c>
      <c r="J4" t="str">
        <f t="shared" si="5"/>
        <v>Mon</v>
      </c>
      <c r="K4" t="str">
        <f t="shared" si="6"/>
        <v>05</v>
      </c>
      <c r="L4" t="str">
        <f t="shared" si="7"/>
        <v>Test3 is earned onMonday amount rs.234</v>
      </c>
      <c r="M4" t="s">
        <v>249</v>
      </c>
    </row>
    <row r="5" spans="1:13" x14ac:dyDescent="0.3">
      <c r="A5" s="12">
        <v>46028</v>
      </c>
      <c r="B5" t="s">
        <v>233</v>
      </c>
      <c r="C5">
        <v>543</v>
      </c>
      <c r="E5" t="str">
        <f t="shared" si="0"/>
        <v>Tuesday</v>
      </c>
      <c r="F5" t="str">
        <f t="shared" si="1"/>
        <v>Jan</v>
      </c>
      <c r="G5" t="str">
        <f t="shared" si="2"/>
        <v>2026</v>
      </c>
      <c r="H5" t="str">
        <f t="shared" si="3"/>
        <v>January</v>
      </c>
      <c r="I5" t="str">
        <f t="shared" si="4"/>
        <v>26</v>
      </c>
      <c r="J5" t="str">
        <f t="shared" si="5"/>
        <v>Tue</v>
      </c>
      <c r="K5" t="str">
        <f t="shared" si="6"/>
        <v>06</v>
      </c>
      <c r="L5" t="str">
        <f t="shared" si="7"/>
        <v>Test4 is earned onTuesday amount rs.543</v>
      </c>
      <c r="M5" t="s">
        <v>250</v>
      </c>
    </row>
    <row r="6" spans="1:13" x14ac:dyDescent="0.3">
      <c r="A6" s="12">
        <v>46029</v>
      </c>
      <c r="B6" t="s">
        <v>234</v>
      </c>
      <c r="C6">
        <v>5656</v>
      </c>
      <c r="E6" t="str">
        <f t="shared" si="0"/>
        <v>Wednesday</v>
      </c>
      <c r="F6" t="str">
        <f t="shared" si="1"/>
        <v>Jan</v>
      </c>
      <c r="G6" t="str">
        <f t="shared" si="2"/>
        <v>2026</v>
      </c>
      <c r="H6" t="str">
        <f t="shared" si="3"/>
        <v>January</v>
      </c>
      <c r="I6" t="str">
        <f t="shared" si="4"/>
        <v>26</v>
      </c>
      <c r="J6" t="str">
        <f t="shared" si="5"/>
        <v>Wed</v>
      </c>
      <c r="K6" t="str">
        <f t="shared" si="6"/>
        <v>07</v>
      </c>
      <c r="L6" t="str">
        <f t="shared" si="7"/>
        <v>Test5 is earned onWednesday amount rs.5656</v>
      </c>
      <c r="M6" t="s">
        <v>251</v>
      </c>
    </row>
    <row r="7" spans="1:13" x14ac:dyDescent="0.3">
      <c r="A7" s="12">
        <v>46030</v>
      </c>
      <c r="B7" t="s">
        <v>235</v>
      </c>
      <c r="C7">
        <v>54</v>
      </c>
      <c r="E7" t="str">
        <f t="shared" si="0"/>
        <v>Thursday</v>
      </c>
      <c r="F7" t="str">
        <f t="shared" si="1"/>
        <v>Jan</v>
      </c>
      <c r="G7" t="str">
        <f t="shared" si="2"/>
        <v>2026</v>
      </c>
      <c r="H7" t="str">
        <f t="shared" si="3"/>
        <v>January</v>
      </c>
      <c r="I7" t="str">
        <f t="shared" si="4"/>
        <v>26</v>
      </c>
      <c r="J7" t="str">
        <f t="shared" si="5"/>
        <v>Thu</v>
      </c>
      <c r="K7" t="str">
        <f t="shared" si="6"/>
        <v>08</v>
      </c>
      <c r="L7" t="str">
        <f t="shared" si="7"/>
        <v>Test6 is earned onThursday amount rs.54</v>
      </c>
      <c r="M7" t="s">
        <v>252</v>
      </c>
    </row>
    <row r="8" spans="1:13" x14ac:dyDescent="0.3">
      <c r="A8" s="12">
        <v>46243</v>
      </c>
      <c r="B8" t="s">
        <v>236</v>
      </c>
      <c r="C8">
        <v>656</v>
      </c>
      <c r="E8" t="str">
        <f t="shared" si="0"/>
        <v>Sunday</v>
      </c>
      <c r="F8" t="str">
        <f t="shared" si="1"/>
        <v>Aug</v>
      </c>
      <c r="G8" t="str">
        <f t="shared" si="2"/>
        <v>2026</v>
      </c>
      <c r="H8" t="str">
        <f t="shared" si="3"/>
        <v>August</v>
      </c>
      <c r="I8" t="str">
        <f t="shared" si="4"/>
        <v>26</v>
      </c>
      <c r="J8" t="str">
        <f t="shared" si="5"/>
        <v>Sun</v>
      </c>
      <c r="K8" t="str">
        <f t="shared" si="6"/>
        <v>09</v>
      </c>
      <c r="L8" t="str">
        <f t="shared" si="7"/>
        <v>Test7 is earned onSunday amount rs.656</v>
      </c>
      <c r="M8" t="s">
        <v>253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tabSelected="1" zoomScale="130" zoomScaleNormal="130" workbookViewId="0">
      <selection activeCell="F4" sqref="F4"/>
    </sheetView>
  </sheetViews>
  <sheetFormatPr defaultColWidth="8.6640625" defaultRowHeight="14.4" x14ac:dyDescent="0.3"/>
  <cols>
    <col min="1" max="1" width="45" customWidth="1"/>
    <col min="2" max="3" width="20" customWidth="1"/>
    <col min="4" max="4" width="18" customWidth="1"/>
    <col min="5" max="5" width="12" customWidth="1"/>
    <col min="6" max="6" width="14" customWidth="1"/>
    <col min="7" max="7" width="30" customWidth="1"/>
  </cols>
  <sheetData>
    <row r="1" spans="1:7" ht="17.25" customHeight="1" x14ac:dyDescent="0.3">
      <c r="A1" s="13" t="s">
        <v>156</v>
      </c>
      <c r="B1" s="13"/>
      <c r="C1" s="13"/>
      <c r="D1" s="13"/>
      <c r="E1" s="13"/>
      <c r="F1" s="13"/>
      <c r="G1" s="13"/>
    </row>
    <row r="3" spans="1:7" ht="15" customHeight="1" x14ac:dyDescent="0.3">
      <c r="A3" s="9" t="s">
        <v>157</v>
      </c>
      <c r="B3" s="9" t="s">
        <v>158</v>
      </c>
      <c r="C3" s="9" t="s">
        <v>257</v>
      </c>
      <c r="D3" s="9" t="s">
        <v>159</v>
      </c>
      <c r="E3" s="9" t="s">
        <v>160</v>
      </c>
      <c r="F3" s="9" t="s">
        <v>161</v>
      </c>
      <c r="G3" s="9" t="s">
        <v>72</v>
      </c>
    </row>
    <row r="4" spans="1:7" ht="15" customHeight="1" x14ac:dyDescent="0.3">
      <c r="A4" t="s">
        <v>162</v>
      </c>
      <c r="B4" t="str">
        <f>PROPER(TRIM(LEFT(A4,FIND("|",A4)-1)))</f>
        <v>Amit Kumar</v>
      </c>
      <c r="C4" t="str">
        <f>MID(A4,FIND("@",A4)+1,FIND("|",A4,FIND("@",A4))-FIND("@",A4)-2)</f>
        <v>gmail.com</v>
      </c>
      <c r="D4" t="str">
        <f>MID(A4,FIND("|",A4,FIND("|",A4)+2)+2,20)</f>
        <v>022-2345-6789</v>
      </c>
      <c r="E4" t="str">
        <f>MID(A4,FIND("|",A4,FIND("|",A4)+2)+2,3)</f>
        <v>022</v>
      </c>
      <c r="G4" t="s">
        <v>163</v>
      </c>
    </row>
    <row r="5" spans="1:7" ht="15" customHeight="1" x14ac:dyDescent="0.3">
      <c r="A5" t="s">
        <v>164</v>
      </c>
      <c r="B5" t="str">
        <f t="shared" ref="B5:B7" si="0">PROPER(TRIM(LEFT(A5,FIND("|",A5)-1)))</f>
        <v>Priya Sharma</v>
      </c>
      <c r="C5" t="str">
        <f t="shared" ref="C5:C7" si="1">MID(A5,FIND("@",A5)+1,FIND("|",A5,FIND("@",A5))-FIND("@",A5)-2)</f>
        <v>yahoo.in</v>
      </c>
      <c r="D5" t="str">
        <f t="shared" ref="D5:D7" si="2">MID(A5,FIND("|",A5,FIND("|",A5)+2)+2,20)</f>
        <v>011 4567 8901</v>
      </c>
      <c r="E5" t="str">
        <f t="shared" ref="E5:E7" si="3">MID(A5,FIND("|",A5,FIND("|",A5)+2)+2,3)</f>
        <v>011</v>
      </c>
      <c r="G5" t="s">
        <v>163</v>
      </c>
    </row>
    <row r="6" spans="1:7" ht="15" customHeight="1" x14ac:dyDescent="0.3">
      <c r="A6" t="s">
        <v>165</v>
      </c>
      <c r="B6" t="str">
        <f t="shared" si="0"/>
        <v>Rahul Singh</v>
      </c>
      <c r="C6" t="str">
        <f t="shared" si="1"/>
        <v>outlook.com</v>
      </c>
      <c r="D6" t="str">
        <f t="shared" si="2"/>
        <v>080-7890-1234</v>
      </c>
      <c r="E6" t="str">
        <f t="shared" si="3"/>
        <v>080</v>
      </c>
      <c r="G6" t="s">
        <v>163</v>
      </c>
    </row>
    <row r="7" spans="1:7" ht="15" customHeight="1" x14ac:dyDescent="0.3">
      <c r="A7" t="s">
        <v>166</v>
      </c>
      <c r="B7" t="str">
        <f t="shared" si="0"/>
        <v>Sneha Patel</v>
      </c>
      <c r="C7" t="str">
        <f t="shared" si="1"/>
        <v>company.co.in</v>
      </c>
      <c r="D7" t="str">
        <f t="shared" si="2"/>
        <v>044 3456 7890</v>
      </c>
      <c r="E7" t="str">
        <f t="shared" si="3"/>
        <v>044</v>
      </c>
      <c r="G7" t="s">
        <v>163</v>
      </c>
    </row>
    <row r="9" spans="1:7" ht="15" customHeight="1" x14ac:dyDescent="0.3">
      <c r="A9" s="14" t="s">
        <v>167</v>
      </c>
      <c r="B9" s="14"/>
      <c r="C9" s="14"/>
      <c r="D9" s="14"/>
      <c r="E9" s="14"/>
      <c r="F9" s="14"/>
      <c r="G9" s="14"/>
    </row>
  </sheetData>
  <mergeCells count="2">
    <mergeCell ref="A1:G1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zoomScaleNormal="100" workbookViewId="0">
      <selection activeCell="B17" sqref="B17"/>
    </sheetView>
  </sheetViews>
  <sheetFormatPr defaultColWidth="8.6640625" defaultRowHeight="14.4" x14ac:dyDescent="0.3"/>
  <cols>
    <col min="1" max="2" width="25" customWidth="1"/>
    <col min="3" max="3" width="20" customWidth="1"/>
    <col min="4" max="4" width="50" customWidth="1"/>
  </cols>
  <sheetData>
    <row r="1" spans="1:4" ht="17.25" customHeight="1" x14ac:dyDescent="0.3">
      <c r="A1" s="24" t="s">
        <v>168</v>
      </c>
      <c r="B1" s="24"/>
      <c r="C1" s="24"/>
      <c r="D1" s="24"/>
    </row>
    <row r="3" spans="1:4" ht="15" customHeight="1" x14ac:dyDescent="0.3">
      <c r="A3" s="19" t="s">
        <v>169</v>
      </c>
      <c r="B3" s="19"/>
      <c r="C3" s="19"/>
      <c r="D3" s="19"/>
    </row>
    <row r="4" spans="1:4" ht="15" customHeight="1" x14ac:dyDescent="0.3">
      <c r="A4" s="10" t="s">
        <v>170</v>
      </c>
      <c r="B4" s="10" t="s">
        <v>171</v>
      </c>
      <c r="C4" s="10" t="s">
        <v>172</v>
      </c>
      <c r="D4" s="10" t="s">
        <v>173</v>
      </c>
    </row>
    <row r="5" spans="1:4" ht="15" customHeight="1" x14ac:dyDescent="0.3">
      <c r="A5" t="s">
        <v>174</v>
      </c>
      <c r="B5" t="str">
        <f>PROPER(A5)</f>
        <v>Rajesh Kumar</v>
      </c>
      <c r="C5">
        <f>LEN(B5)</f>
        <v>12</v>
      </c>
      <c r="D5" t="s">
        <v>175</v>
      </c>
    </row>
    <row r="6" spans="1:4" ht="15" customHeight="1" x14ac:dyDescent="0.3">
      <c r="A6" t="s">
        <v>176</v>
      </c>
      <c r="B6" t="str">
        <f t="shared" ref="B6:B7" si="0">PROPER(A6)</f>
        <v>Meera Sharma</v>
      </c>
      <c r="C6">
        <f t="shared" ref="C6:C7" si="1">LEN(B6)</f>
        <v>12</v>
      </c>
      <c r="D6" t="s">
        <v>175</v>
      </c>
    </row>
    <row r="7" spans="1:4" ht="15" customHeight="1" x14ac:dyDescent="0.3">
      <c r="A7" t="s">
        <v>177</v>
      </c>
      <c r="B7" t="str">
        <f t="shared" si="0"/>
        <v>Suresh Patel</v>
      </c>
      <c r="C7">
        <f t="shared" si="1"/>
        <v>12</v>
      </c>
      <c r="D7" t="s">
        <v>175</v>
      </c>
    </row>
    <row r="9" spans="1:4" ht="15" customHeight="1" x14ac:dyDescent="0.3">
      <c r="A9" s="19" t="s">
        <v>178</v>
      </c>
      <c r="B9" s="19"/>
      <c r="C9" s="19"/>
      <c r="D9" s="19"/>
    </row>
    <row r="10" spans="1:4" ht="15" customHeight="1" x14ac:dyDescent="0.3">
      <c r="A10" s="10" t="s">
        <v>179</v>
      </c>
      <c r="B10" s="10" t="s">
        <v>108</v>
      </c>
      <c r="C10" s="10" t="s">
        <v>109</v>
      </c>
      <c r="D10" s="10" t="s">
        <v>180</v>
      </c>
    </row>
    <row r="11" spans="1:4" ht="15" customHeight="1" x14ac:dyDescent="0.3">
      <c r="A11" t="s">
        <v>181</v>
      </c>
      <c r="B11" t="str">
        <f>LEFT(A11,SEARCH("@",A11)-1)</f>
        <v>john</v>
      </c>
      <c r="C11" t="str">
        <f>MID(A11,SEARCH("@",A11)+1,14)</f>
        <v>example.com</v>
      </c>
      <c r="D11" t="s">
        <v>182</v>
      </c>
    </row>
    <row r="12" spans="1:4" ht="15" customHeight="1" x14ac:dyDescent="0.3">
      <c r="A12" t="s">
        <v>183</v>
      </c>
      <c r="B12" t="str">
        <f t="shared" ref="B12:B13" si="2">LEFT(A12,SEARCH("@",A12)-1)</f>
        <v>sarah</v>
      </c>
      <c r="C12" t="str">
        <f t="shared" ref="C12:C13" si="3">MID(A12,SEARCH("@",A12)+1,14)</f>
        <v>company.co.in</v>
      </c>
      <c r="D12" t="s">
        <v>182</v>
      </c>
    </row>
    <row r="13" spans="1:4" ht="15" customHeight="1" x14ac:dyDescent="0.3">
      <c r="A13" t="s">
        <v>184</v>
      </c>
      <c r="B13" t="str">
        <f t="shared" si="2"/>
        <v>mike</v>
      </c>
      <c r="C13" t="str">
        <f t="shared" si="3"/>
        <v>test.org</v>
      </c>
      <c r="D13" t="s">
        <v>182</v>
      </c>
    </row>
    <row r="15" spans="1:4" ht="15" customHeight="1" x14ac:dyDescent="0.3">
      <c r="A15" s="19" t="s">
        <v>185</v>
      </c>
      <c r="B15" s="19"/>
      <c r="C15" s="19"/>
      <c r="D15" s="19"/>
    </row>
    <row r="16" spans="1:4" ht="15" customHeight="1" x14ac:dyDescent="0.3">
      <c r="A16" s="10" t="s">
        <v>186</v>
      </c>
      <c r="B16" s="10" t="s">
        <v>149</v>
      </c>
      <c r="C16" s="10" t="s">
        <v>69</v>
      </c>
      <c r="D16" s="10" t="s">
        <v>187</v>
      </c>
    </row>
    <row r="17" spans="1:4" ht="15" customHeight="1" x14ac:dyDescent="0.3">
      <c r="A17" t="s">
        <v>73</v>
      </c>
      <c r="B17" t="str">
        <f>SUBSTITUTE(SUBSTITUTE(SUBSTITUTE(A17,"+",""),"-","")," ","")</f>
        <v>02223456789</v>
      </c>
      <c r="C17" t="str">
        <f>LEFT(A17,3)</f>
        <v>022</v>
      </c>
      <c r="D17" t="s">
        <v>188</v>
      </c>
    </row>
    <row r="18" spans="1:4" ht="15" customHeight="1" x14ac:dyDescent="0.3">
      <c r="A18" t="s">
        <v>152</v>
      </c>
      <c r="B18" t="str">
        <f t="shared" ref="B18:B19" si="4">SUBSTITUTE(SUBSTITUTE(SUBSTITUTE(A18,"+",""),"-","")," ","")</f>
        <v>01145678901</v>
      </c>
      <c r="C18" t="str">
        <f t="shared" ref="C18:C19" si="5">LEFT(A18,3)</f>
        <v>011</v>
      </c>
      <c r="D18" t="s">
        <v>188</v>
      </c>
    </row>
    <row r="19" spans="1:4" ht="15" customHeight="1" x14ac:dyDescent="0.3">
      <c r="A19" t="s">
        <v>189</v>
      </c>
      <c r="B19" t="str">
        <f t="shared" si="4"/>
        <v>9108078901234</v>
      </c>
      <c r="C19" t="str">
        <f t="shared" si="5"/>
        <v>+91</v>
      </c>
      <c r="D19" t="s">
        <v>188</v>
      </c>
    </row>
    <row r="21" spans="1:4" ht="15" customHeight="1" x14ac:dyDescent="0.3">
      <c r="A21" s="19" t="s">
        <v>190</v>
      </c>
      <c r="B21" s="19"/>
      <c r="C21" s="19"/>
      <c r="D21" s="19"/>
    </row>
    <row r="22" spans="1:4" ht="15" customHeight="1" x14ac:dyDescent="0.3">
      <c r="A22" s="10" t="s">
        <v>191</v>
      </c>
      <c r="B22" s="10" t="s">
        <v>192</v>
      </c>
      <c r="C22" s="10" t="s">
        <v>193</v>
      </c>
      <c r="D22" s="10" t="s">
        <v>194</v>
      </c>
    </row>
    <row r="23" spans="1:4" ht="15" customHeight="1" x14ac:dyDescent="0.3">
      <c r="A23" t="s">
        <v>142</v>
      </c>
      <c r="B23" t="str">
        <f>SUBSTITUTE(A23,"Mr","Dr")</f>
        <v>Dr. Sharma</v>
      </c>
      <c r="C23" t="str">
        <f>UPPER(B23)</f>
        <v>DR. SHARMA</v>
      </c>
      <c r="D23" t="s">
        <v>195</v>
      </c>
    </row>
    <row r="24" spans="1:4" ht="15" customHeight="1" x14ac:dyDescent="0.3">
      <c r="A24" t="s">
        <v>196</v>
      </c>
      <c r="B24" t="str">
        <f t="shared" ref="B24:B25" si="6">SUBSTITUTE(A24,"Mr","Dr")</f>
        <v>Dr. Patel</v>
      </c>
      <c r="C24" t="str">
        <f t="shared" ref="C24:C25" si="7">UPPER(B24)</f>
        <v>DR. PATEL</v>
      </c>
      <c r="D24" t="s">
        <v>195</v>
      </c>
    </row>
    <row r="25" spans="1:4" ht="15" customHeight="1" x14ac:dyDescent="0.3">
      <c r="A25" t="s">
        <v>197</v>
      </c>
      <c r="B25" t="str">
        <f t="shared" si="6"/>
        <v>Dr. Kumar</v>
      </c>
      <c r="C25" t="str">
        <f t="shared" si="7"/>
        <v>DR. KUMAR</v>
      </c>
      <c r="D25" t="s">
        <v>195</v>
      </c>
    </row>
  </sheetData>
  <mergeCells count="5">
    <mergeCell ref="A1:D1"/>
    <mergeCell ref="A3:D3"/>
    <mergeCell ref="A9:D9"/>
    <mergeCell ref="A15:D15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"/>
  <sheetViews>
    <sheetView topLeftCell="A4" zoomScaleNormal="100" workbookViewId="0">
      <selection activeCell="B18" sqref="B18"/>
    </sheetView>
  </sheetViews>
  <sheetFormatPr defaultColWidth="8.6640625" defaultRowHeight="14.4" x14ac:dyDescent="0.3"/>
  <cols>
    <col min="1" max="1" width="25" customWidth="1"/>
    <col min="2" max="2" width="35" customWidth="1"/>
    <col min="3" max="3" width="20" customWidth="1"/>
    <col min="4" max="4" width="50" customWidth="1"/>
  </cols>
  <sheetData>
    <row r="1" spans="1:4" ht="17.25" customHeight="1" x14ac:dyDescent="0.3">
      <c r="A1" s="25" t="s">
        <v>198</v>
      </c>
      <c r="B1" s="25"/>
      <c r="C1" s="25"/>
      <c r="D1" s="25"/>
    </row>
    <row r="3" spans="1:4" ht="15" customHeight="1" x14ac:dyDescent="0.3">
      <c r="A3" s="1" t="s">
        <v>199</v>
      </c>
    </row>
    <row r="4" spans="1:4" ht="15" customHeight="1" x14ac:dyDescent="0.3">
      <c r="A4" s="11" t="s">
        <v>200</v>
      </c>
      <c r="B4" s="11" t="s">
        <v>171</v>
      </c>
      <c r="C4" s="11" t="s">
        <v>84</v>
      </c>
      <c r="D4" s="11" t="s">
        <v>110</v>
      </c>
    </row>
    <row r="5" spans="1:4" ht="15" customHeight="1" x14ac:dyDescent="0.3">
      <c r="A5" t="s">
        <v>174</v>
      </c>
      <c r="B5" t="str">
        <f>PROPER(A5)</f>
        <v>Rajesh Kumar</v>
      </c>
      <c r="C5">
        <f>LEN(B5)</f>
        <v>12</v>
      </c>
      <c r="D5" t="s">
        <v>201</v>
      </c>
    </row>
    <row r="6" spans="1:4" ht="15" customHeight="1" x14ac:dyDescent="0.3">
      <c r="A6" t="s">
        <v>176</v>
      </c>
      <c r="B6" t="str">
        <f>PROPER(A6)</f>
        <v>Meera Sharma</v>
      </c>
      <c r="C6">
        <f>LEN(B6)</f>
        <v>12</v>
      </c>
      <c r="D6" t="s">
        <v>202</v>
      </c>
    </row>
    <row r="7" spans="1:4" ht="15" customHeight="1" x14ac:dyDescent="0.3">
      <c r="A7" t="s">
        <v>177</v>
      </c>
      <c r="B7" t="str">
        <f>PROPER(A7)</f>
        <v>Suresh Patel</v>
      </c>
      <c r="C7">
        <f>LEN(B7)</f>
        <v>12</v>
      </c>
      <c r="D7" t="s">
        <v>203</v>
      </c>
    </row>
    <row r="9" spans="1:4" ht="15" customHeight="1" x14ac:dyDescent="0.3">
      <c r="A9" s="1" t="s">
        <v>204</v>
      </c>
    </row>
    <row r="10" spans="1:4" ht="15" customHeight="1" x14ac:dyDescent="0.3">
      <c r="A10" s="11" t="s">
        <v>205</v>
      </c>
      <c r="B10" s="11" t="s">
        <v>108</v>
      </c>
      <c r="C10" s="11" t="s">
        <v>109</v>
      </c>
      <c r="D10" s="11" t="s">
        <v>110</v>
      </c>
    </row>
    <row r="11" spans="1:4" ht="15" customHeight="1" x14ac:dyDescent="0.3">
      <c r="A11" t="s">
        <v>181</v>
      </c>
      <c r="B11" t="str">
        <f>LEFT(A11,FIND("@",A11)-1)</f>
        <v>john</v>
      </c>
      <c r="C11" t="str">
        <f>MID(A11,FIND("@",A11)+1,100)</f>
        <v>example.com</v>
      </c>
      <c r="D11" t="s">
        <v>206</v>
      </c>
    </row>
    <row r="12" spans="1:4" ht="15" customHeight="1" x14ac:dyDescent="0.3">
      <c r="A12" t="s">
        <v>183</v>
      </c>
      <c r="B12" t="str">
        <f>LEFT(A12,FIND("@",A12)-1)</f>
        <v>sarah</v>
      </c>
      <c r="C12" t="str">
        <f>MID(A12,FIND("@",A12)+1,100)</f>
        <v>company.co.in</v>
      </c>
      <c r="D12" t="s">
        <v>206</v>
      </c>
    </row>
    <row r="13" spans="1:4" ht="15" customHeight="1" x14ac:dyDescent="0.3">
      <c r="A13" t="s">
        <v>184</v>
      </c>
      <c r="B13" t="str">
        <f>LEFT(A13,FIND("@",A13)-1)</f>
        <v>mike</v>
      </c>
      <c r="C13" t="str">
        <f>MID(A13,FIND("@",A13)+1,100)</f>
        <v>test.org</v>
      </c>
      <c r="D13" t="s">
        <v>206</v>
      </c>
    </row>
    <row r="15" spans="1:4" ht="15" customHeight="1" x14ac:dyDescent="0.3">
      <c r="A15" s="1" t="s">
        <v>207</v>
      </c>
    </row>
    <row r="16" spans="1:4" ht="15" customHeight="1" x14ac:dyDescent="0.3">
      <c r="A16" s="11" t="s">
        <v>208</v>
      </c>
      <c r="B16" s="11" t="s">
        <v>209</v>
      </c>
      <c r="C16" s="11" t="s">
        <v>69</v>
      </c>
      <c r="D16" s="11" t="s">
        <v>110</v>
      </c>
    </row>
    <row r="17" spans="1:4" ht="15" customHeight="1" x14ac:dyDescent="0.3">
      <c r="A17" t="s">
        <v>73</v>
      </c>
      <c r="B17" t="str">
        <f>SUBSTITUTE(SUBSTITUTE(SUBSTITUTE(A17,"-","")," ",""),"+91","")</f>
        <v>02223456789</v>
      </c>
      <c r="C17" t="str">
        <f>LEFT(B17,3)</f>
        <v>022</v>
      </c>
      <c r="D17" t="s">
        <v>210</v>
      </c>
    </row>
    <row r="18" spans="1:4" ht="15" customHeight="1" x14ac:dyDescent="0.3">
      <c r="A18" t="s">
        <v>152</v>
      </c>
      <c r="B18" t="str">
        <f>SUBSTITUTE(SUBSTITUTE(SUBSTITUTE(A18,"-","")," ",""),"+91","")</f>
        <v>01145678901</v>
      </c>
      <c r="C18" t="str">
        <f>LEFT(B18,3)</f>
        <v>011</v>
      </c>
      <c r="D18" t="s">
        <v>210</v>
      </c>
    </row>
    <row r="19" spans="1:4" ht="15" customHeight="1" x14ac:dyDescent="0.3">
      <c r="A19" t="s">
        <v>189</v>
      </c>
      <c r="B19" t="str">
        <f>SUBSTITUTE(SUBSTITUTE(SUBSTITUTE(A19,"-","")," ",""),"+91","")</f>
        <v>08078901234</v>
      </c>
      <c r="C19" t="str">
        <f>LEFT(B19,3)</f>
        <v>080</v>
      </c>
      <c r="D19" t="s">
        <v>210</v>
      </c>
    </row>
    <row r="21" spans="1:4" ht="15" customHeight="1" x14ac:dyDescent="0.3">
      <c r="A21" s="1" t="s">
        <v>211</v>
      </c>
    </row>
    <row r="22" spans="1:4" ht="15" customHeight="1" x14ac:dyDescent="0.3">
      <c r="A22" s="11" t="s">
        <v>191</v>
      </c>
      <c r="B22" s="11" t="s">
        <v>212</v>
      </c>
      <c r="C22" s="11" t="s">
        <v>213</v>
      </c>
      <c r="D22" s="11" t="s">
        <v>110</v>
      </c>
    </row>
    <row r="23" spans="1:4" ht="15" customHeight="1" x14ac:dyDescent="0.3">
      <c r="A23" t="s">
        <v>142</v>
      </c>
      <c r="B23" t="str">
        <f>SUBSTITUTE(A23,"Mr","Dr")</f>
        <v>Dr. Sharma</v>
      </c>
      <c r="C23" t="str">
        <f>UPPER(B23)</f>
        <v>DR. SHARMA</v>
      </c>
      <c r="D23" t="s">
        <v>214</v>
      </c>
    </row>
    <row r="24" spans="1:4" ht="15" customHeight="1" x14ac:dyDescent="0.3">
      <c r="A24" t="s">
        <v>196</v>
      </c>
      <c r="B24" t="str">
        <f>SUBSTITUTE(A24,"Mr","Dr")</f>
        <v>Dr. Patel</v>
      </c>
      <c r="C24" t="str">
        <f>UPPER(B24)</f>
        <v>DR. PATEL</v>
      </c>
      <c r="D24" t="s">
        <v>214</v>
      </c>
    </row>
    <row r="25" spans="1:4" ht="15" customHeight="1" x14ac:dyDescent="0.3">
      <c r="A25" t="s">
        <v>197</v>
      </c>
      <c r="B25" t="str">
        <f>SUBSTITUTE(A25,"Mr","Dr")</f>
        <v>Dr. Kumar</v>
      </c>
      <c r="C25" t="str">
        <f>UPPER(B25)</f>
        <v>DR. KUMAR</v>
      </c>
      <c r="D25" t="s">
        <v>214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UPPER LOWER PROPER</vt:lpstr>
      <vt:lpstr>2. TRIM Function</vt:lpstr>
      <vt:lpstr>3. CONCATENATE</vt:lpstr>
      <vt:lpstr>4. LEFT RIGHT MID</vt:lpstr>
      <vt:lpstr>5. LEN Function</vt:lpstr>
      <vt:lpstr>6. FIND &amp; SEARCH</vt:lpstr>
      <vt:lpstr>7. SUBSTITUTE</vt:lpstr>
      <vt:lpstr>Sheet1</vt:lpstr>
      <vt:lpstr>8. Real World Example</vt:lpstr>
      <vt:lpstr>9. Practice Exercises</vt:lpstr>
      <vt:lpstr>10. 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krunal patel</cp:lastModifiedBy>
  <cp:revision>0</cp:revision>
  <dcterms:created xsi:type="dcterms:W3CDTF">2026-03-13T04:53:47Z</dcterms:created>
  <dcterms:modified xsi:type="dcterms:W3CDTF">2026-03-16T12:52:38Z</dcterms:modified>
  <dc:language>en-US</dc:language>
</cp:coreProperties>
</file>