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runa\Desktop\RISE (Excel)\"/>
    </mc:Choice>
  </mc:AlternateContent>
  <xr:revisionPtr revIDLastSave="0" documentId="8_{5BAEEE36-6A58-49C3-872C-5ED77FF800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M3" i="1" l="1"/>
  <c r="BM4" i="1"/>
  <c r="BM5" i="1"/>
  <c r="BM6" i="1"/>
  <c r="BM7" i="1"/>
  <c r="BM8" i="1"/>
  <c r="BM9" i="1"/>
  <c r="BM10" i="1"/>
  <c r="BM11" i="1"/>
  <c r="BM12" i="1"/>
  <c r="BM13" i="1"/>
  <c r="BM14" i="1"/>
  <c r="BM15" i="1"/>
  <c r="BM16" i="1"/>
  <c r="BM17" i="1"/>
  <c r="BM18" i="1"/>
  <c r="BM19" i="1"/>
  <c r="BM20" i="1"/>
  <c r="BM21" i="1"/>
  <c r="BM22" i="1"/>
  <c r="BM23" i="1"/>
  <c r="BM24" i="1"/>
  <c r="BM25" i="1"/>
  <c r="BM26" i="1"/>
  <c r="BM27" i="1"/>
  <c r="BM28" i="1"/>
  <c r="BM29" i="1"/>
  <c r="BM30" i="1"/>
  <c r="BM31" i="1"/>
  <c r="BM32" i="1"/>
  <c r="BM33" i="1"/>
  <c r="BM34" i="1"/>
  <c r="BM35" i="1"/>
  <c r="BM36" i="1"/>
  <c r="BM37" i="1"/>
  <c r="BM38" i="1"/>
  <c r="BM39" i="1"/>
  <c r="BM40" i="1"/>
  <c r="BM41" i="1"/>
  <c r="BM42" i="1"/>
  <c r="BM43" i="1"/>
  <c r="BM44" i="1"/>
  <c r="BM45" i="1"/>
  <c r="BM46" i="1"/>
  <c r="BM47" i="1"/>
  <c r="BM48" i="1"/>
  <c r="BM49" i="1"/>
  <c r="BM50" i="1"/>
  <c r="BM51" i="1"/>
  <c r="BM2" i="1"/>
  <c r="BL3" i="1"/>
  <c r="BL4" i="1"/>
  <c r="BL5" i="1"/>
  <c r="BL6" i="1"/>
  <c r="BL7" i="1"/>
  <c r="BL8" i="1"/>
  <c r="BL9" i="1"/>
  <c r="BL10" i="1"/>
  <c r="BL11" i="1"/>
  <c r="BL12" i="1"/>
  <c r="BL13" i="1"/>
  <c r="BL14" i="1"/>
  <c r="BL15" i="1"/>
  <c r="BL16" i="1"/>
  <c r="BL17" i="1"/>
  <c r="BL18" i="1"/>
  <c r="BL19" i="1"/>
  <c r="BL20" i="1"/>
  <c r="BL21" i="1"/>
  <c r="BL22" i="1"/>
  <c r="BL23" i="1"/>
  <c r="BL24" i="1"/>
  <c r="BL25" i="1"/>
  <c r="BL26" i="1"/>
  <c r="BL27" i="1"/>
  <c r="BL28" i="1"/>
  <c r="BL29" i="1"/>
  <c r="BL30" i="1"/>
  <c r="BL31" i="1"/>
  <c r="BL32" i="1"/>
  <c r="BL33" i="1"/>
  <c r="BL34" i="1"/>
  <c r="BL35" i="1"/>
  <c r="BL36" i="1"/>
  <c r="BL37" i="1"/>
  <c r="BL38" i="1"/>
  <c r="BL39" i="1"/>
  <c r="BL40" i="1"/>
  <c r="BL41" i="1"/>
  <c r="BL42" i="1"/>
  <c r="BL43" i="1"/>
  <c r="BL44" i="1"/>
  <c r="BL45" i="1"/>
  <c r="BL46" i="1"/>
  <c r="BL47" i="1"/>
  <c r="BL48" i="1"/>
  <c r="BL49" i="1"/>
  <c r="BL50" i="1"/>
  <c r="BL51" i="1"/>
  <c r="BL2" i="1"/>
  <c r="BK3" i="1"/>
  <c r="BK4" i="1"/>
  <c r="BK5" i="1"/>
  <c r="BK6" i="1"/>
  <c r="BK7" i="1"/>
  <c r="BK8" i="1"/>
  <c r="BK9" i="1"/>
  <c r="BK10" i="1"/>
  <c r="BK11" i="1"/>
  <c r="BK12" i="1"/>
  <c r="BK13" i="1"/>
  <c r="BK14" i="1"/>
  <c r="BK15" i="1"/>
  <c r="BK16" i="1"/>
  <c r="BK17" i="1"/>
  <c r="BK18" i="1"/>
  <c r="BK19" i="1"/>
  <c r="BK20" i="1"/>
  <c r="BK21" i="1"/>
  <c r="BK22" i="1"/>
  <c r="BK23" i="1"/>
  <c r="BK24" i="1"/>
  <c r="BK25" i="1"/>
  <c r="BK26" i="1"/>
  <c r="BK27" i="1"/>
  <c r="BK28" i="1"/>
  <c r="BK29" i="1"/>
  <c r="BK30" i="1"/>
  <c r="BK31" i="1"/>
  <c r="BK32" i="1"/>
  <c r="BK33" i="1"/>
  <c r="BK34" i="1"/>
  <c r="BK35" i="1"/>
  <c r="BK36" i="1"/>
  <c r="BK37" i="1"/>
  <c r="BK38" i="1"/>
  <c r="BK39" i="1"/>
  <c r="BK40" i="1"/>
  <c r="BK41" i="1"/>
  <c r="BK42" i="1"/>
  <c r="BK43" i="1"/>
  <c r="BK44" i="1"/>
  <c r="BK45" i="1"/>
  <c r="BK46" i="1"/>
  <c r="BK47" i="1"/>
  <c r="BK48" i="1"/>
  <c r="BK49" i="1"/>
  <c r="BK50" i="1"/>
  <c r="BK51" i="1"/>
  <c r="BK2" i="1"/>
  <c r="BJ3" i="1"/>
  <c r="BJ4" i="1"/>
  <c r="BJ5" i="1"/>
  <c r="BJ6" i="1"/>
  <c r="BJ7" i="1"/>
  <c r="BJ8" i="1"/>
  <c r="BJ9" i="1"/>
  <c r="BJ10" i="1"/>
  <c r="BJ11" i="1"/>
  <c r="BJ12" i="1"/>
  <c r="BJ13" i="1"/>
  <c r="BJ14" i="1"/>
  <c r="BJ15" i="1"/>
  <c r="BJ16" i="1"/>
  <c r="BJ17" i="1"/>
  <c r="BJ18" i="1"/>
  <c r="BJ19" i="1"/>
  <c r="BJ20" i="1"/>
  <c r="BJ21" i="1"/>
  <c r="BJ22" i="1"/>
  <c r="BJ23" i="1"/>
  <c r="BJ24" i="1"/>
  <c r="BJ25" i="1"/>
  <c r="BJ26" i="1"/>
  <c r="BJ27" i="1"/>
  <c r="BJ28" i="1"/>
  <c r="BJ29" i="1"/>
  <c r="BJ30" i="1"/>
  <c r="BJ31" i="1"/>
  <c r="BJ32" i="1"/>
  <c r="BJ33" i="1"/>
  <c r="BJ34" i="1"/>
  <c r="BJ35" i="1"/>
  <c r="BJ36" i="1"/>
  <c r="BJ37" i="1"/>
  <c r="BJ38" i="1"/>
  <c r="BJ39" i="1"/>
  <c r="BJ40" i="1"/>
  <c r="BJ41" i="1"/>
  <c r="BJ42" i="1"/>
  <c r="BJ43" i="1"/>
  <c r="BJ44" i="1"/>
  <c r="BJ45" i="1"/>
  <c r="BJ46" i="1"/>
  <c r="BJ47" i="1"/>
  <c r="BJ48" i="1"/>
  <c r="BJ49" i="1"/>
  <c r="BJ50" i="1"/>
  <c r="BJ51" i="1"/>
  <c r="BJ2" i="1"/>
  <c r="BI3" i="1"/>
  <c r="BI4" i="1"/>
  <c r="BI5" i="1"/>
  <c r="BI6" i="1"/>
  <c r="BI7" i="1"/>
  <c r="BI8" i="1"/>
  <c r="BI9" i="1"/>
  <c r="BI10" i="1"/>
  <c r="BI11" i="1"/>
  <c r="BI12" i="1"/>
  <c r="BI13" i="1"/>
  <c r="BI14" i="1"/>
  <c r="BI15" i="1"/>
  <c r="BI16" i="1"/>
  <c r="BI17" i="1"/>
  <c r="BI18" i="1"/>
  <c r="BI19" i="1"/>
  <c r="BI20" i="1"/>
  <c r="BI21" i="1"/>
  <c r="BI22" i="1"/>
  <c r="BI23" i="1"/>
  <c r="BI24" i="1"/>
  <c r="BI25" i="1"/>
  <c r="BI26" i="1"/>
  <c r="BI27" i="1"/>
  <c r="BI28" i="1"/>
  <c r="BI29" i="1"/>
  <c r="BI30" i="1"/>
  <c r="BI31" i="1"/>
  <c r="BI32" i="1"/>
  <c r="BI33" i="1"/>
  <c r="BI34" i="1"/>
  <c r="BI35" i="1"/>
  <c r="BI36" i="1"/>
  <c r="BI37" i="1"/>
  <c r="BI38" i="1"/>
  <c r="BI39" i="1"/>
  <c r="BI40" i="1"/>
  <c r="BI41" i="1"/>
  <c r="BI42" i="1"/>
  <c r="BI43" i="1"/>
  <c r="BI44" i="1"/>
  <c r="BI45" i="1"/>
  <c r="BI46" i="1"/>
  <c r="BI47" i="1"/>
  <c r="BI48" i="1"/>
  <c r="BI49" i="1"/>
  <c r="BI50" i="1"/>
  <c r="BI51" i="1"/>
  <c r="BI2" i="1"/>
  <c r="BH3" i="1"/>
  <c r="BH4" i="1"/>
  <c r="BH5" i="1"/>
  <c r="BH6" i="1"/>
  <c r="BH7" i="1"/>
  <c r="BH8" i="1"/>
  <c r="BH9" i="1"/>
  <c r="BH10" i="1"/>
  <c r="BH11" i="1"/>
  <c r="BH12" i="1"/>
  <c r="BH13" i="1"/>
  <c r="BH14" i="1"/>
  <c r="BH15" i="1"/>
  <c r="BH16" i="1"/>
  <c r="BH17" i="1"/>
  <c r="BH18" i="1"/>
  <c r="BH19" i="1"/>
  <c r="BH20" i="1"/>
  <c r="BH21" i="1"/>
  <c r="BH22" i="1"/>
  <c r="BH23" i="1"/>
  <c r="BH24" i="1"/>
  <c r="BH25" i="1"/>
  <c r="BH26" i="1"/>
  <c r="BH27" i="1"/>
  <c r="BH28" i="1"/>
  <c r="BH29" i="1"/>
  <c r="BH30" i="1"/>
  <c r="BH31" i="1"/>
  <c r="BH32" i="1"/>
  <c r="BH33" i="1"/>
  <c r="BH34" i="1"/>
  <c r="BH35" i="1"/>
  <c r="BH36" i="1"/>
  <c r="BH37" i="1"/>
  <c r="BH38" i="1"/>
  <c r="BH39" i="1"/>
  <c r="BH40" i="1"/>
  <c r="BH41" i="1"/>
  <c r="BH42" i="1"/>
  <c r="BH43" i="1"/>
  <c r="BH44" i="1"/>
  <c r="BH45" i="1"/>
  <c r="BH46" i="1"/>
  <c r="BH47" i="1"/>
  <c r="BH48" i="1"/>
  <c r="BH49" i="1"/>
  <c r="BH50" i="1"/>
  <c r="BH51" i="1"/>
  <c r="BH2" i="1"/>
  <c r="BG3" i="1"/>
  <c r="BG4" i="1"/>
  <c r="BG5" i="1"/>
  <c r="BG6" i="1"/>
  <c r="BG7" i="1"/>
  <c r="BG8" i="1"/>
  <c r="BG9" i="1"/>
  <c r="BG10" i="1"/>
  <c r="BG11" i="1"/>
  <c r="BG12" i="1"/>
  <c r="BG13" i="1"/>
  <c r="BG14" i="1"/>
  <c r="BG15" i="1"/>
  <c r="BG16" i="1"/>
  <c r="BG17" i="1"/>
  <c r="BG18" i="1"/>
  <c r="BG19" i="1"/>
  <c r="BG20" i="1"/>
  <c r="BG21" i="1"/>
  <c r="BG22" i="1"/>
  <c r="BG23" i="1"/>
  <c r="BG24" i="1"/>
  <c r="BG25" i="1"/>
  <c r="BG26" i="1"/>
  <c r="BG27" i="1"/>
  <c r="BG28" i="1"/>
  <c r="BG29" i="1"/>
  <c r="BG30" i="1"/>
  <c r="BG31" i="1"/>
  <c r="BG32" i="1"/>
  <c r="BG33" i="1"/>
  <c r="BG34" i="1"/>
  <c r="BG35" i="1"/>
  <c r="BG36" i="1"/>
  <c r="BG37" i="1"/>
  <c r="BG38" i="1"/>
  <c r="BG39" i="1"/>
  <c r="BG40" i="1"/>
  <c r="BG41" i="1"/>
  <c r="BG42" i="1"/>
  <c r="BG43" i="1"/>
  <c r="BG44" i="1"/>
  <c r="BG45" i="1"/>
  <c r="BG46" i="1"/>
  <c r="BG47" i="1"/>
  <c r="BG48" i="1"/>
  <c r="BG49" i="1"/>
  <c r="BG50" i="1"/>
  <c r="BG51" i="1"/>
  <c r="BG2" i="1"/>
  <c r="BF3" i="1"/>
  <c r="BF4" i="1"/>
  <c r="BF5" i="1"/>
  <c r="BF6" i="1"/>
  <c r="BF7" i="1"/>
  <c r="BF8" i="1"/>
  <c r="BF9" i="1"/>
  <c r="BF10" i="1"/>
  <c r="BF11" i="1"/>
  <c r="BF12" i="1"/>
  <c r="BF13" i="1"/>
  <c r="BF14" i="1"/>
  <c r="BF15" i="1"/>
  <c r="BF16" i="1"/>
  <c r="BF17" i="1"/>
  <c r="BF18" i="1"/>
  <c r="BF19" i="1"/>
  <c r="BF20" i="1"/>
  <c r="BF21" i="1"/>
  <c r="BF22" i="1"/>
  <c r="BF23" i="1"/>
  <c r="BF24" i="1"/>
  <c r="BF25" i="1"/>
  <c r="BF26" i="1"/>
  <c r="BF27" i="1"/>
  <c r="BF28" i="1"/>
  <c r="BF29" i="1"/>
  <c r="BF30" i="1"/>
  <c r="BF31" i="1"/>
  <c r="BF32" i="1"/>
  <c r="BF33" i="1"/>
  <c r="BF34" i="1"/>
  <c r="BF35" i="1"/>
  <c r="BF36" i="1"/>
  <c r="BF37" i="1"/>
  <c r="BF38" i="1"/>
  <c r="BF39" i="1"/>
  <c r="BF40" i="1"/>
  <c r="BF41" i="1"/>
  <c r="BF42" i="1"/>
  <c r="BF43" i="1"/>
  <c r="BF44" i="1"/>
  <c r="BF45" i="1"/>
  <c r="BF46" i="1"/>
  <c r="BF47" i="1"/>
  <c r="BF48" i="1"/>
  <c r="BF49" i="1"/>
  <c r="BF50" i="1"/>
  <c r="BF51" i="1"/>
  <c r="BF2" i="1"/>
  <c r="BE3" i="1"/>
  <c r="BE4" i="1"/>
  <c r="BE5" i="1"/>
  <c r="BE6" i="1"/>
  <c r="BE7" i="1"/>
  <c r="BE8" i="1"/>
  <c r="BE9" i="1"/>
  <c r="BE10" i="1"/>
  <c r="BE11" i="1"/>
  <c r="BE12" i="1"/>
  <c r="BE13" i="1"/>
  <c r="BE14" i="1"/>
  <c r="BE15" i="1"/>
  <c r="BE16" i="1"/>
  <c r="BE17" i="1"/>
  <c r="BE18" i="1"/>
  <c r="BE19" i="1"/>
  <c r="BE20" i="1"/>
  <c r="BE21" i="1"/>
  <c r="BE22" i="1"/>
  <c r="BE23" i="1"/>
  <c r="BE24" i="1"/>
  <c r="BE25" i="1"/>
  <c r="BE26" i="1"/>
  <c r="BE27" i="1"/>
  <c r="BE28" i="1"/>
  <c r="BE29" i="1"/>
  <c r="BE30" i="1"/>
  <c r="BE31" i="1"/>
  <c r="BE32" i="1"/>
  <c r="BE33" i="1"/>
  <c r="BE34" i="1"/>
  <c r="BE35" i="1"/>
  <c r="BE36" i="1"/>
  <c r="BE37" i="1"/>
  <c r="BE38" i="1"/>
  <c r="BE39" i="1"/>
  <c r="BE40" i="1"/>
  <c r="BE41" i="1"/>
  <c r="BE42" i="1"/>
  <c r="BE43" i="1"/>
  <c r="BE44" i="1"/>
  <c r="BE45" i="1"/>
  <c r="BE46" i="1"/>
  <c r="BE47" i="1"/>
  <c r="BE48" i="1"/>
  <c r="BE49" i="1"/>
  <c r="BE50" i="1"/>
  <c r="BE51" i="1"/>
  <c r="BE2" i="1"/>
  <c r="BD3" i="1"/>
  <c r="BD4" i="1"/>
  <c r="BD5" i="1"/>
  <c r="BD6" i="1"/>
  <c r="BD7" i="1"/>
  <c r="BD8" i="1"/>
  <c r="BD9" i="1"/>
  <c r="BD10" i="1"/>
  <c r="BD11" i="1"/>
  <c r="BD12" i="1"/>
  <c r="BD13" i="1"/>
  <c r="BD14" i="1"/>
  <c r="BD15" i="1"/>
  <c r="BD16" i="1"/>
  <c r="BD17" i="1"/>
  <c r="BD18" i="1"/>
  <c r="BD19" i="1"/>
  <c r="BD20" i="1"/>
  <c r="BD21" i="1"/>
  <c r="BD22" i="1"/>
  <c r="BD23" i="1"/>
  <c r="BD24" i="1"/>
  <c r="BD25" i="1"/>
  <c r="BD26" i="1"/>
  <c r="BD27" i="1"/>
  <c r="BD28" i="1"/>
  <c r="BD29" i="1"/>
  <c r="BD30" i="1"/>
  <c r="BD31" i="1"/>
  <c r="BD32" i="1"/>
  <c r="BD33" i="1"/>
  <c r="BD34" i="1"/>
  <c r="BD35" i="1"/>
  <c r="BD36" i="1"/>
  <c r="BD37" i="1"/>
  <c r="BD38" i="1"/>
  <c r="BD39" i="1"/>
  <c r="BD40" i="1"/>
  <c r="BD41" i="1"/>
  <c r="BD42" i="1"/>
  <c r="BD43" i="1"/>
  <c r="BD44" i="1"/>
  <c r="BD45" i="1"/>
  <c r="BD46" i="1"/>
  <c r="BD47" i="1"/>
  <c r="BD48" i="1"/>
  <c r="BD49" i="1"/>
  <c r="BD50" i="1"/>
  <c r="BD51" i="1"/>
  <c r="BD2" i="1"/>
  <c r="BC3" i="1"/>
  <c r="BC4" i="1"/>
  <c r="BC5" i="1"/>
  <c r="BC6" i="1"/>
  <c r="BC7" i="1"/>
  <c r="BC8" i="1"/>
  <c r="BC9" i="1"/>
  <c r="BC10" i="1"/>
  <c r="BC11" i="1"/>
  <c r="BC12" i="1"/>
  <c r="BC13" i="1"/>
  <c r="BC14" i="1"/>
  <c r="BC15" i="1"/>
  <c r="BC16" i="1"/>
  <c r="BC17" i="1"/>
  <c r="BC18" i="1"/>
  <c r="BC19" i="1"/>
  <c r="BC20" i="1"/>
  <c r="BC21" i="1"/>
  <c r="BC22" i="1"/>
  <c r="BC23" i="1"/>
  <c r="BC24" i="1"/>
  <c r="BC25" i="1"/>
  <c r="BC26" i="1"/>
  <c r="BC27" i="1"/>
  <c r="BC28" i="1"/>
  <c r="BC29" i="1"/>
  <c r="BC30" i="1"/>
  <c r="BC31" i="1"/>
  <c r="BC32" i="1"/>
  <c r="BC33" i="1"/>
  <c r="BC34" i="1"/>
  <c r="BC35" i="1"/>
  <c r="BC36" i="1"/>
  <c r="BC37" i="1"/>
  <c r="BC38" i="1"/>
  <c r="BC39" i="1"/>
  <c r="BC40" i="1"/>
  <c r="BC41" i="1"/>
  <c r="BC42" i="1"/>
  <c r="BC43" i="1"/>
  <c r="BC44" i="1"/>
  <c r="BC45" i="1"/>
  <c r="BC46" i="1"/>
  <c r="BC47" i="1"/>
  <c r="BC48" i="1"/>
  <c r="BC49" i="1"/>
  <c r="BC50" i="1"/>
  <c r="BC51" i="1"/>
  <c r="BC2" i="1"/>
  <c r="BB3" i="1"/>
  <c r="BB4" i="1"/>
  <c r="BB5" i="1"/>
  <c r="BB6" i="1"/>
  <c r="BB7" i="1"/>
  <c r="BB8" i="1"/>
  <c r="BB9" i="1"/>
  <c r="BB10" i="1"/>
  <c r="BB11" i="1"/>
  <c r="BB12" i="1"/>
  <c r="BB13" i="1"/>
  <c r="BB14" i="1"/>
  <c r="BB15" i="1"/>
  <c r="BB16" i="1"/>
  <c r="BB17" i="1"/>
  <c r="BB18" i="1"/>
  <c r="BB19" i="1"/>
  <c r="BB20" i="1"/>
  <c r="BB21" i="1"/>
  <c r="BB22" i="1"/>
  <c r="BB23" i="1"/>
  <c r="BB24" i="1"/>
  <c r="BB25" i="1"/>
  <c r="BB26" i="1"/>
  <c r="BB27" i="1"/>
  <c r="BB28" i="1"/>
  <c r="BB29" i="1"/>
  <c r="BB30" i="1"/>
  <c r="BB31" i="1"/>
  <c r="BB32" i="1"/>
  <c r="BB33" i="1"/>
  <c r="BB34" i="1"/>
  <c r="BB35" i="1"/>
  <c r="BB36" i="1"/>
  <c r="BB37" i="1"/>
  <c r="BB38" i="1"/>
  <c r="BB39" i="1"/>
  <c r="BB40" i="1"/>
  <c r="BB41" i="1"/>
  <c r="BB42" i="1"/>
  <c r="BB43" i="1"/>
  <c r="BB44" i="1"/>
  <c r="BB45" i="1"/>
  <c r="BB46" i="1"/>
  <c r="BB47" i="1"/>
  <c r="BB48" i="1"/>
  <c r="BB49" i="1"/>
  <c r="BB50" i="1"/>
  <c r="BB51" i="1"/>
  <c r="BB2" i="1"/>
  <c r="BA3" i="1"/>
  <c r="BA4" i="1"/>
  <c r="BA5" i="1"/>
  <c r="BA6" i="1"/>
  <c r="BA7" i="1"/>
  <c r="BA8" i="1"/>
  <c r="BA9" i="1"/>
  <c r="BA10" i="1"/>
  <c r="BA11" i="1"/>
  <c r="BA12" i="1"/>
  <c r="BA13" i="1"/>
  <c r="BA14" i="1"/>
  <c r="BA15" i="1"/>
  <c r="BA16" i="1"/>
  <c r="BA17" i="1"/>
  <c r="BA18" i="1"/>
  <c r="BA19" i="1"/>
  <c r="BA20" i="1"/>
  <c r="BA21" i="1"/>
  <c r="BA22" i="1"/>
  <c r="BA23" i="1"/>
  <c r="BA24" i="1"/>
  <c r="BA25" i="1"/>
  <c r="BA26" i="1"/>
  <c r="BA27" i="1"/>
  <c r="BA28" i="1"/>
  <c r="BA29" i="1"/>
  <c r="BA30" i="1"/>
  <c r="BA31" i="1"/>
  <c r="BA32" i="1"/>
  <c r="BA33" i="1"/>
  <c r="BA34" i="1"/>
  <c r="BA35" i="1"/>
  <c r="BA36" i="1"/>
  <c r="BA37" i="1"/>
  <c r="BA38" i="1"/>
  <c r="BA39" i="1"/>
  <c r="BA40" i="1"/>
  <c r="BA41" i="1"/>
  <c r="BA42" i="1"/>
  <c r="BA43" i="1"/>
  <c r="BA44" i="1"/>
  <c r="BA45" i="1"/>
  <c r="BA46" i="1"/>
  <c r="BA47" i="1"/>
  <c r="BA48" i="1"/>
  <c r="BA49" i="1"/>
  <c r="BA50" i="1"/>
  <c r="BA51" i="1"/>
  <c r="BA2" i="1"/>
  <c r="AZ3" i="1"/>
  <c r="AZ4" i="1"/>
  <c r="AZ5" i="1"/>
  <c r="AZ6" i="1"/>
  <c r="AZ7" i="1"/>
  <c r="AZ8" i="1"/>
  <c r="AZ9" i="1"/>
  <c r="AZ10" i="1"/>
  <c r="AZ11" i="1"/>
  <c r="AZ12" i="1"/>
  <c r="AZ13" i="1"/>
  <c r="AZ14" i="1"/>
  <c r="AZ15" i="1"/>
  <c r="AZ16" i="1"/>
  <c r="AZ17" i="1"/>
  <c r="AZ18" i="1"/>
  <c r="AZ19" i="1"/>
  <c r="AZ20" i="1"/>
  <c r="AZ21" i="1"/>
  <c r="AZ22" i="1"/>
  <c r="AZ23" i="1"/>
  <c r="AZ24" i="1"/>
  <c r="AZ25" i="1"/>
  <c r="AZ26" i="1"/>
  <c r="AZ27" i="1"/>
  <c r="AZ28" i="1"/>
  <c r="AZ29" i="1"/>
  <c r="AZ30" i="1"/>
  <c r="AZ31" i="1"/>
  <c r="AZ32" i="1"/>
  <c r="AZ33" i="1"/>
  <c r="AZ34" i="1"/>
  <c r="AZ35" i="1"/>
  <c r="AZ36" i="1"/>
  <c r="AZ37" i="1"/>
  <c r="AZ38" i="1"/>
  <c r="AZ39" i="1"/>
  <c r="AZ40" i="1"/>
  <c r="AZ41" i="1"/>
  <c r="AZ42" i="1"/>
  <c r="AZ43" i="1"/>
  <c r="AZ44" i="1"/>
  <c r="AZ45" i="1"/>
  <c r="AZ46" i="1"/>
  <c r="AZ47" i="1"/>
  <c r="AZ48" i="1"/>
  <c r="AZ49" i="1"/>
  <c r="AZ50" i="1"/>
  <c r="AZ51" i="1"/>
  <c r="AZ2" i="1"/>
  <c r="AY3" i="1"/>
  <c r="AY4" i="1"/>
  <c r="AY5" i="1"/>
  <c r="AY6" i="1"/>
  <c r="AY7" i="1"/>
  <c r="AY8" i="1"/>
  <c r="AY9" i="1"/>
  <c r="AY10" i="1"/>
  <c r="AY11" i="1"/>
  <c r="AY12" i="1"/>
  <c r="AY13" i="1"/>
  <c r="AY14" i="1"/>
  <c r="AY15" i="1"/>
  <c r="AY16" i="1"/>
  <c r="AY17" i="1"/>
  <c r="AY18" i="1"/>
  <c r="AY19" i="1"/>
  <c r="AY20" i="1"/>
  <c r="AY21" i="1"/>
  <c r="AY22" i="1"/>
  <c r="AY23" i="1"/>
  <c r="AY24" i="1"/>
  <c r="AY25" i="1"/>
  <c r="AY26" i="1"/>
  <c r="AY27" i="1"/>
  <c r="AY28" i="1"/>
  <c r="AY29" i="1"/>
  <c r="AY30" i="1"/>
  <c r="AY31" i="1"/>
  <c r="AY32" i="1"/>
  <c r="AY33" i="1"/>
  <c r="AY34" i="1"/>
  <c r="AY35" i="1"/>
  <c r="AY36" i="1"/>
  <c r="AY37" i="1"/>
  <c r="AY38" i="1"/>
  <c r="AY39" i="1"/>
  <c r="AY40" i="1"/>
  <c r="AY41" i="1"/>
  <c r="AY42" i="1"/>
  <c r="AY43" i="1"/>
  <c r="AY44" i="1"/>
  <c r="AY45" i="1"/>
  <c r="AY46" i="1"/>
  <c r="AY47" i="1"/>
  <c r="AY48" i="1"/>
  <c r="AY49" i="1"/>
  <c r="AY50" i="1"/>
  <c r="AY51" i="1"/>
  <c r="AY2" i="1"/>
  <c r="AX2" i="1"/>
  <c r="AW2" i="1"/>
  <c r="AV2" i="1"/>
  <c r="AU2" i="1"/>
  <c r="AT2" i="1"/>
  <c r="AS2" i="1"/>
  <c r="AR2" i="1"/>
  <c r="AQ2" i="1"/>
  <c r="AP3" i="1"/>
  <c r="AP4" i="1"/>
  <c r="AP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2" i="1"/>
  <c r="AO3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2" i="1"/>
  <c r="AN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2" i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2" i="1"/>
  <c r="AL3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2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2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2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2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2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2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2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2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2" i="1"/>
</calcChain>
</file>

<file path=xl/sharedStrings.xml><?xml version="1.0" encoding="utf-8"?>
<sst xmlns="http://schemas.openxmlformats.org/spreadsheetml/2006/main" count="515" uniqueCount="433">
  <si>
    <t>Student ID</t>
  </si>
  <si>
    <t>Student Name</t>
  </si>
  <si>
    <t>Email ID</t>
  </si>
  <si>
    <t>Mobile Number</t>
  </si>
  <si>
    <t>Course Name</t>
  </si>
  <si>
    <t>City</t>
  </si>
  <si>
    <t>Marks Subject 1</t>
  </si>
  <si>
    <t>Marks Subject 2</t>
  </si>
  <si>
    <t>Marks Subject 3</t>
  </si>
  <si>
    <t>Attendance %</t>
  </si>
  <si>
    <t>Fees Paid</t>
  </si>
  <si>
    <t>Total Fees</t>
  </si>
  <si>
    <t>Registration Date</t>
  </si>
  <si>
    <t>Status</t>
  </si>
  <si>
    <t>Remarks</t>
  </si>
  <si>
    <t>STU001</t>
  </si>
  <si>
    <t xml:space="preserve">  amit KUMAR  </t>
  </si>
  <si>
    <t>amit.kumar@email.com</t>
  </si>
  <si>
    <t>9876543210</t>
  </si>
  <si>
    <t>DATA science</t>
  </si>
  <si>
    <t xml:space="preserve">  Mumbai  </t>
  </si>
  <si>
    <t>01-Jan-2024</t>
  </si>
  <si>
    <t>active</t>
  </si>
  <si>
    <t xml:space="preserve">  Good performance  </t>
  </si>
  <si>
    <t>stu002</t>
  </si>
  <si>
    <t>PRIYA sharma</t>
  </si>
  <si>
    <t>PRIYA.SHARMA@EMAIL.COM</t>
  </si>
  <si>
    <t>9876543211</t>
  </si>
  <si>
    <t>web DEVELOPMENT</t>
  </si>
  <si>
    <t>Delhi</t>
  </si>
  <si>
    <t>05-Jan-2024</t>
  </si>
  <si>
    <t>ACTIVE</t>
  </si>
  <si>
    <t>Needs improvement</t>
  </si>
  <si>
    <t>Stu003</t>
  </si>
  <si>
    <t>rahul  VERMA</t>
  </si>
  <si>
    <t>rahul_verma@mail.in</t>
  </si>
  <si>
    <t>9876543212</t>
  </si>
  <si>
    <t>Digital MARKETING</t>
  </si>
  <si>
    <t xml:space="preserve">  Bangalore  </t>
  </si>
  <si>
    <t>08-Jan-2024</t>
  </si>
  <si>
    <t>Active</t>
  </si>
  <si>
    <t>Excellent student</t>
  </si>
  <si>
    <t>STU004</t>
  </si>
  <si>
    <t xml:space="preserve">sneha PATEL  </t>
  </si>
  <si>
    <t>sneha.patel@email.com</t>
  </si>
  <si>
    <t>9876543213</t>
  </si>
  <si>
    <t>graphic DESIGN</t>
  </si>
  <si>
    <t>Pune</t>
  </si>
  <si>
    <t>10-Jan-2024</t>
  </si>
  <si>
    <t>inactive</t>
  </si>
  <si>
    <t xml:space="preserve">  Payment pending  </t>
  </si>
  <si>
    <t>stu005</t>
  </si>
  <si>
    <t xml:space="preserve">  VIKRAM singh</t>
  </si>
  <si>
    <t>vikram.singh@mail.in</t>
  </si>
  <si>
    <t>9876543214</t>
  </si>
  <si>
    <t xml:space="preserve">  Hyderabad  </t>
  </si>
  <si>
    <t>12-Jan-2024</t>
  </si>
  <si>
    <t>Regular attendance</t>
  </si>
  <si>
    <t>Stu006</t>
  </si>
  <si>
    <t xml:space="preserve">anjali REDDY  </t>
  </si>
  <si>
    <t>anjali_reddy@email.com</t>
  </si>
  <si>
    <t>9876543215</t>
  </si>
  <si>
    <t>WEB development</t>
  </si>
  <si>
    <t>Chennai</t>
  </si>
  <si>
    <t>15-Jan-2024</t>
  </si>
  <si>
    <t>Good progress</t>
  </si>
  <si>
    <t>STU007</t>
  </si>
  <si>
    <t xml:space="preserve">  karan MALHOTRA</t>
  </si>
  <si>
    <t>karan.malhotra@mail.in</t>
  </si>
  <si>
    <t>9876543216</t>
  </si>
  <si>
    <t>digital marketing</t>
  </si>
  <si>
    <t xml:space="preserve">  Ahmedabad  </t>
  </si>
  <si>
    <t>18-Jan-2024</t>
  </si>
  <si>
    <t xml:space="preserve">  Participative  </t>
  </si>
  <si>
    <t>stu008</t>
  </si>
  <si>
    <t>NEHA gupta</t>
  </si>
  <si>
    <t>neha.gupta@email.com</t>
  </si>
  <si>
    <t>9876543217</t>
  </si>
  <si>
    <t>GRAPHIC design</t>
  </si>
  <si>
    <t>Jaipur</t>
  </si>
  <si>
    <t>20-Jan-2024</t>
  </si>
  <si>
    <t>INACTIVE</t>
  </si>
  <si>
    <t>Low attendance</t>
  </si>
  <si>
    <t>Stu009</t>
  </si>
  <si>
    <t xml:space="preserve">  arjun NAIR  </t>
  </si>
  <si>
    <t>arjun.nair@mail.in</t>
  </si>
  <si>
    <t>9876543218</t>
  </si>
  <si>
    <t>Data SCIENCE</t>
  </si>
  <si>
    <t xml:space="preserve">  Kochi  </t>
  </si>
  <si>
    <t>22-Jan-2024</t>
  </si>
  <si>
    <t>Outstanding</t>
  </si>
  <si>
    <t>STU010</t>
  </si>
  <si>
    <t>pooja IYER</t>
  </si>
  <si>
    <t>pooja_iyer@email.com</t>
  </si>
  <si>
    <t>9876543219</t>
  </si>
  <si>
    <t>Kolkata</t>
  </si>
  <si>
    <t>25-Jan-2024</t>
  </si>
  <si>
    <t>Average performer</t>
  </si>
  <si>
    <t>stu011</t>
  </si>
  <si>
    <t xml:space="preserve">SANJAY joshi  </t>
  </si>
  <si>
    <t>sanjay.joshi@mail.in</t>
  </si>
  <si>
    <t>9876543220</t>
  </si>
  <si>
    <t>DIGITAL marketing</t>
  </si>
  <si>
    <t xml:space="preserve">  Surat  </t>
  </si>
  <si>
    <t>28-Jan-2024</t>
  </si>
  <si>
    <t xml:space="preserve">  Improving  </t>
  </si>
  <si>
    <t>Stu012</t>
  </si>
  <si>
    <t xml:space="preserve">  kavita DESAI</t>
  </si>
  <si>
    <t>kavita.desai@email.com</t>
  </si>
  <si>
    <t>9876543221</t>
  </si>
  <si>
    <t>Nagpur</t>
  </si>
  <si>
    <t>01-Feb-2024</t>
  </si>
  <si>
    <t>Consistent</t>
  </si>
  <si>
    <t>STU013</t>
  </si>
  <si>
    <t xml:space="preserve">rohit SHARMA  </t>
  </si>
  <si>
    <t>rohit.sharma@mail.in</t>
  </si>
  <si>
    <t>9876543222</t>
  </si>
  <si>
    <t>data science</t>
  </si>
  <si>
    <t xml:space="preserve">  Lucknow  </t>
  </si>
  <si>
    <t>03-Feb-2024</t>
  </si>
  <si>
    <t>Very good</t>
  </si>
  <si>
    <t>stu014</t>
  </si>
  <si>
    <t>SWATI pillai</t>
  </si>
  <si>
    <t>swati_pillai@email.com</t>
  </si>
  <si>
    <t>9876543223</t>
  </si>
  <si>
    <t>Indore</t>
  </si>
  <si>
    <t>05-Feb-2024</t>
  </si>
  <si>
    <t>Needs attention</t>
  </si>
  <si>
    <t>Stu015</t>
  </si>
  <si>
    <t xml:space="preserve">  aditya RAO</t>
  </si>
  <si>
    <t>aditya.rao@mail.in</t>
  </si>
  <si>
    <t>9876543224</t>
  </si>
  <si>
    <t xml:space="preserve">  Bhopal  </t>
  </si>
  <si>
    <t>08-Feb-2024</t>
  </si>
  <si>
    <t xml:space="preserve">  Fee pending  </t>
  </si>
  <si>
    <t>STU016</t>
  </si>
  <si>
    <t xml:space="preserve">megha KULKARNI  </t>
  </si>
  <si>
    <t>megha.kulkarni@email.com</t>
  </si>
  <si>
    <t>9876543225</t>
  </si>
  <si>
    <t>Chandigarh</t>
  </si>
  <si>
    <t>10-Feb-2024</t>
  </si>
  <si>
    <t>Good attitude</t>
  </si>
  <si>
    <t>stu017</t>
  </si>
  <si>
    <t>VISHAL chauhan</t>
  </si>
  <si>
    <t>vishal.chauhan@mail.in</t>
  </si>
  <si>
    <t>9876543226</t>
  </si>
  <si>
    <t>data SCIENCE</t>
  </si>
  <si>
    <t xml:space="preserve">  Patna  </t>
  </si>
  <si>
    <t>12-Feb-2024</t>
  </si>
  <si>
    <t>Top performer</t>
  </si>
  <si>
    <t>Stu018</t>
  </si>
  <si>
    <t xml:space="preserve">  ritu BAJAJ  </t>
  </si>
  <si>
    <t>ritu_bajaj@email.com</t>
  </si>
  <si>
    <t>9876543227</t>
  </si>
  <si>
    <t>Vadodara</t>
  </si>
  <si>
    <t>15-Feb-2024</t>
  </si>
  <si>
    <t xml:space="preserve">  Regular  </t>
  </si>
  <si>
    <t>STU019</t>
  </si>
  <si>
    <t>manish KAPOOR</t>
  </si>
  <si>
    <t>manish.kapoor@mail.in</t>
  </si>
  <si>
    <t>9876543228</t>
  </si>
  <si>
    <t xml:space="preserve">  Ludhiana  </t>
  </si>
  <si>
    <t>18-Feb-2024</t>
  </si>
  <si>
    <t>Doing well</t>
  </si>
  <si>
    <t>stu020</t>
  </si>
  <si>
    <t xml:space="preserve">DIVYA menon  </t>
  </si>
  <si>
    <t>divya.menon@email.com</t>
  </si>
  <si>
    <t>9876543229</t>
  </si>
  <si>
    <t>Agra</t>
  </si>
  <si>
    <t>20-Feb-2024</t>
  </si>
  <si>
    <t>Irregular</t>
  </si>
  <si>
    <t>Stu021</t>
  </si>
  <si>
    <t xml:space="preserve">  deepak JAIN</t>
  </si>
  <si>
    <t>deepak.jain@mail.in</t>
  </si>
  <si>
    <t>9876543230</t>
  </si>
  <si>
    <t xml:space="preserve">  Nashik  </t>
  </si>
  <si>
    <t>22-Feb-2024</t>
  </si>
  <si>
    <t>Excellent work</t>
  </si>
  <si>
    <t>STU022</t>
  </si>
  <si>
    <t xml:space="preserve">nidhi KHANNA  </t>
  </si>
  <si>
    <t>nidhi_khanna@email.com</t>
  </si>
  <si>
    <t>9876543231</t>
  </si>
  <si>
    <t>Rajkot</t>
  </si>
  <si>
    <t>25-Feb-2024</t>
  </si>
  <si>
    <t xml:space="preserve">  Good learner  </t>
  </si>
  <si>
    <t>stu023</t>
  </si>
  <si>
    <t>SURESH kumar</t>
  </si>
  <si>
    <t>suresh.kumar@mail.in</t>
  </si>
  <si>
    <t>9876543232</t>
  </si>
  <si>
    <t>digital MARKETING</t>
  </si>
  <si>
    <t xml:space="preserve">  Meerut  </t>
  </si>
  <si>
    <t>28-Feb-2024</t>
  </si>
  <si>
    <t>Active participation</t>
  </si>
  <si>
    <t>Stu024</t>
  </si>
  <si>
    <t xml:space="preserve">  aarti MISHRA</t>
  </si>
  <si>
    <t>aarti.mishra@email.com</t>
  </si>
  <si>
    <t>9876543233</t>
  </si>
  <si>
    <t>Varanasi</t>
  </si>
  <si>
    <t>01-Mar-2024</t>
  </si>
  <si>
    <t>Steady progress</t>
  </si>
  <si>
    <t>STU025</t>
  </si>
  <si>
    <t xml:space="preserve">tarun SINGH  </t>
  </si>
  <si>
    <t>tarun.singh@mail.in</t>
  </si>
  <si>
    <t>9876543234</t>
  </si>
  <si>
    <t xml:space="preserve">  Allahabad  </t>
  </si>
  <si>
    <t>03-Mar-2024</t>
  </si>
  <si>
    <t>Committed student</t>
  </si>
  <si>
    <t>stu026</t>
  </si>
  <si>
    <t>SIMRAN kaur</t>
  </si>
  <si>
    <t>simran_kaur@email.com</t>
  </si>
  <si>
    <t>9876543235</t>
  </si>
  <si>
    <t>WEB DEVELOPMENT</t>
  </si>
  <si>
    <t>Amritsar</t>
  </si>
  <si>
    <t>05-Mar-2024</t>
  </si>
  <si>
    <t xml:space="preserve">  Punctual  </t>
  </si>
  <si>
    <t>Stu027</t>
  </si>
  <si>
    <t xml:space="preserve">  alok TIWARI</t>
  </si>
  <si>
    <t>alok.tiwari@mail.in</t>
  </si>
  <si>
    <t>9876543236</t>
  </si>
  <si>
    <t xml:space="preserve">  Jodhpur  </t>
  </si>
  <si>
    <t>08-Mar-2024</t>
  </si>
  <si>
    <t>Payment due</t>
  </si>
  <si>
    <t>STU028</t>
  </si>
  <si>
    <t xml:space="preserve">radhika PILLAI  </t>
  </si>
  <si>
    <t>radhika.pillai@email.com</t>
  </si>
  <si>
    <t>9876543237</t>
  </si>
  <si>
    <t>Guwahati</t>
  </si>
  <si>
    <t>10-Mar-2024</t>
  </si>
  <si>
    <t>Average</t>
  </si>
  <si>
    <t>stu029</t>
  </si>
  <si>
    <t>HARISH reddy</t>
  </si>
  <si>
    <t>harish.reddy@mail.in</t>
  </si>
  <si>
    <t>9876543238</t>
  </si>
  <si>
    <t xml:space="preserve">  Ranchi  </t>
  </si>
  <si>
    <t>12-Mar-2024</t>
  </si>
  <si>
    <t xml:space="preserve">  Exceptional  </t>
  </si>
  <si>
    <t>Stu030</t>
  </si>
  <si>
    <t xml:space="preserve">  madhuri DESHMUKH</t>
  </si>
  <si>
    <t>madhuri.deshmukh@email.com</t>
  </si>
  <si>
    <t>9876543239</t>
  </si>
  <si>
    <t>Dehradun</t>
  </si>
  <si>
    <t>15-Mar-2024</t>
  </si>
  <si>
    <t>Consistent effort</t>
  </si>
  <si>
    <t>STU031</t>
  </si>
  <si>
    <t xml:space="preserve">sumit GHOSH  </t>
  </si>
  <si>
    <t>sumit_ghosh@mail.in</t>
  </si>
  <si>
    <t>9876543240</t>
  </si>
  <si>
    <t xml:space="preserve">  Jamshedpur  </t>
  </si>
  <si>
    <t>18-Mar-2024</t>
  </si>
  <si>
    <t>Hardworking</t>
  </si>
  <si>
    <t>stu032</t>
  </si>
  <si>
    <t>GEETA nair</t>
  </si>
  <si>
    <t>geeta.nair@email.com</t>
  </si>
  <si>
    <t>9876543241</t>
  </si>
  <si>
    <t>Raipur</t>
  </si>
  <si>
    <t>20-Mar-2024</t>
  </si>
  <si>
    <t xml:space="preserve">  Improving slowly  </t>
  </si>
  <si>
    <t>Stu033</t>
  </si>
  <si>
    <t xml:space="preserve">  ramesh PATEL</t>
  </si>
  <si>
    <t>ramesh.patel@mail.in</t>
  </si>
  <si>
    <t>9876543242</t>
  </si>
  <si>
    <t xml:space="preserve">  Coimbatore  </t>
  </si>
  <si>
    <t>22-Mar-2024</t>
  </si>
  <si>
    <t>Strong student</t>
  </si>
  <si>
    <t>STU034</t>
  </si>
  <si>
    <t xml:space="preserve">sunita VERMA  </t>
  </si>
  <si>
    <t>sunita.verma@email.com</t>
  </si>
  <si>
    <t>9876543243</t>
  </si>
  <si>
    <t>Madurai</t>
  </si>
  <si>
    <t>25-Mar-2024</t>
  </si>
  <si>
    <t>Regular attendee</t>
  </si>
  <si>
    <t>stu035</t>
  </si>
  <si>
    <t>VIVEK chopra</t>
  </si>
  <si>
    <t>vivek.chopra@mail.in</t>
  </si>
  <si>
    <t>9876543244</t>
  </si>
  <si>
    <t xml:space="preserve">  Mysore  </t>
  </si>
  <si>
    <t>28-Mar-2024</t>
  </si>
  <si>
    <t xml:space="preserve">  Focused  </t>
  </si>
  <si>
    <t>Stu036</t>
  </si>
  <si>
    <t xml:space="preserve">  sapna BHATIA</t>
  </si>
  <si>
    <t>sapna_bhatia@email.com</t>
  </si>
  <si>
    <t>9876543245</t>
  </si>
  <si>
    <t>Trichy</t>
  </si>
  <si>
    <t>01-Apr-2024</t>
  </si>
  <si>
    <t>Low marks</t>
  </si>
  <si>
    <t>STU037</t>
  </si>
  <si>
    <t xml:space="preserve">ashish KUMAR  </t>
  </si>
  <si>
    <t>ashish.kumar@mail.in</t>
  </si>
  <si>
    <t>9876543246</t>
  </si>
  <si>
    <t xml:space="preserve">  Jabalpur  </t>
  </si>
  <si>
    <t>03-Apr-2024</t>
  </si>
  <si>
    <t>Star student</t>
  </si>
  <si>
    <t>stu038</t>
  </si>
  <si>
    <t>REKHA singh</t>
  </si>
  <si>
    <t>rekha.singh@email.com</t>
  </si>
  <si>
    <t>9876543247</t>
  </si>
  <si>
    <t>Gwalior</t>
  </si>
  <si>
    <t>05-Apr-2024</t>
  </si>
  <si>
    <t>Good effort</t>
  </si>
  <si>
    <t>Stu039</t>
  </si>
  <si>
    <t xml:space="preserve">  mohit AGARWAL</t>
  </si>
  <si>
    <t>mohit.agarwal@mail.in</t>
  </si>
  <si>
    <t>9876543248</t>
  </si>
  <si>
    <t xml:space="preserve">  Ujjain  </t>
  </si>
  <si>
    <t>08-Apr-2024</t>
  </si>
  <si>
    <t xml:space="preserve">  Engaged  </t>
  </si>
  <si>
    <t>STU040</t>
  </si>
  <si>
    <t xml:space="preserve">kamini RAO  </t>
  </si>
  <si>
    <t>kamini_rao@email.com</t>
  </si>
  <si>
    <t>9876543249</t>
  </si>
  <si>
    <t>Bhilai</t>
  </si>
  <si>
    <t>10-Apr-2024</t>
  </si>
  <si>
    <t>Satisfactory</t>
  </si>
  <si>
    <t>stu041</t>
  </si>
  <si>
    <t>AJAY malhotra</t>
  </si>
  <si>
    <t>ajay.malhotra@mail.in</t>
  </si>
  <si>
    <t>9876543250</t>
  </si>
  <si>
    <t xml:space="preserve">  Bilaspur  </t>
  </si>
  <si>
    <t>12-Apr-2024</t>
  </si>
  <si>
    <t>Very dedicated</t>
  </si>
  <si>
    <t>Stu042</t>
  </si>
  <si>
    <t xml:space="preserve">  lata SHARMA</t>
  </si>
  <si>
    <t>lata.sharma@email.com</t>
  </si>
  <si>
    <t>9876543251</t>
  </si>
  <si>
    <t>Korba</t>
  </si>
  <si>
    <t>15-Apr-2024</t>
  </si>
  <si>
    <t xml:space="preserve">  Making progress  </t>
  </si>
  <si>
    <t>STU043</t>
  </si>
  <si>
    <t xml:space="preserve">naveen KUMAR  </t>
  </si>
  <si>
    <t>naveen.kumar@mail.in</t>
  </si>
  <si>
    <t>9876543252</t>
  </si>
  <si>
    <t xml:space="preserve">  Rourkela  </t>
  </si>
  <si>
    <t>18-Apr-2024</t>
  </si>
  <si>
    <t>Fee balance</t>
  </si>
  <si>
    <t>stu043</t>
  </si>
  <si>
    <t>PALLAVI iyer</t>
  </si>
  <si>
    <t>pallavi.iyer@email.com</t>
  </si>
  <si>
    <t>9876543253</t>
  </si>
  <si>
    <t>Cuttack</t>
  </si>
  <si>
    <t>20-Apr-2024</t>
  </si>
  <si>
    <t>Moderate</t>
  </si>
  <si>
    <t>Stu045</t>
  </si>
  <si>
    <t xml:space="preserve">  sachin JOSHI</t>
  </si>
  <si>
    <t>sachin_joshi@mail.in</t>
  </si>
  <si>
    <t>9876543254</t>
  </si>
  <si>
    <t xml:space="preserve">  Bhubaneswar  </t>
  </si>
  <si>
    <t>22-Apr-2024</t>
  </si>
  <si>
    <t>Brilliant student</t>
  </si>
  <si>
    <t>STU046</t>
  </si>
  <si>
    <t xml:space="preserve">komal GUPTA  </t>
  </si>
  <si>
    <t>komal.gupta@email.com</t>
  </si>
  <si>
    <t>9876543255</t>
  </si>
  <si>
    <t>Siliguri</t>
  </si>
  <si>
    <t>25-Apr-2024</t>
  </si>
  <si>
    <t xml:space="preserve">  Average marks  </t>
  </si>
  <si>
    <t>stu047</t>
  </si>
  <si>
    <t>PANKAJ mishra</t>
  </si>
  <si>
    <t>pankaj.mishra@mail.in</t>
  </si>
  <si>
    <t>9876543256</t>
  </si>
  <si>
    <t xml:space="preserve">  Durgapur  </t>
  </si>
  <si>
    <t>28-Apr-2024</t>
  </si>
  <si>
    <t>Good participation</t>
  </si>
  <si>
    <t>Stu048</t>
  </si>
  <si>
    <t xml:space="preserve">  usha REDDY</t>
  </si>
  <si>
    <t>usha.reddy@email.com</t>
  </si>
  <si>
    <t>9876543257</t>
  </si>
  <si>
    <t>Asansol</t>
  </si>
  <si>
    <t>01-May-2024</t>
  </si>
  <si>
    <t>Needs guidance</t>
  </si>
  <si>
    <t>STU049</t>
  </si>
  <si>
    <t xml:space="preserve">ravi KAPOOR  </t>
  </si>
  <si>
    <t>ravi_kapoor@mail.in</t>
  </si>
  <si>
    <t>9876543258</t>
  </si>
  <si>
    <t xml:space="preserve">  Jammu  </t>
  </si>
  <si>
    <t>03-May-2024</t>
  </si>
  <si>
    <t>Excellent performer</t>
  </si>
  <si>
    <t>stu050</t>
  </si>
  <si>
    <t>SHWETA bajaj</t>
  </si>
  <si>
    <t>shweta.bajaj@email.com</t>
  </si>
  <si>
    <t>9876543259</t>
  </si>
  <si>
    <t>Srinagar</t>
  </si>
  <si>
    <t>05-May-2024</t>
  </si>
  <si>
    <t xml:space="preserve">  Steady learner  </t>
  </si>
  <si>
    <t>que1</t>
  </si>
  <si>
    <t>que2</t>
  </si>
  <si>
    <t>que3</t>
  </si>
  <si>
    <t>que4</t>
  </si>
  <si>
    <t>que5</t>
  </si>
  <si>
    <t>que6</t>
  </si>
  <si>
    <t>que7</t>
  </si>
  <si>
    <t>que8</t>
  </si>
  <si>
    <t>que9</t>
  </si>
  <si>
    <t>que10</t>
  </si>
  <si>
    <t>que11</t>
  </si>
  <si>
    <t>que12</t>
  </si>
  <si>
    <t>que13</t>
  </si>
  <si>
    <t>que14</t>
  </si>
  <si>
    <t>que15</t>
  </si>
  <si>
    <t>que16</t>
  </si>
  <si>
    <t>que17</t>
  </si>
  <si>
    <t>que18</t>
  </si>
  <si>
    <t>que19</t>
  </si>
  <si>
    <t>que20</t>
  </si>
  <si>
    <t>que21</t>
  </si>
  <si>
    <t>que22</t>
  </si>
  <si>
    <t>que23</t>
  </si>
  <si>
    <t>que24</t>
  </si>
  <si>
    <t>que25</t>
  </si>
  <si>
    <t>que26</t>
  </si>
  <si>
    <t>que27</t>
  </si>
  <si>
    <t>que28</t>
  </si>
  <si>
    <t>que29</t>
  </si>
  <si>
    <t>que30</t>
  </si>
  <si>
    <t>que31</t>
  </si>
  <si>
    <t>que32</t>
  </si>
  <si>
    <t>que33</t>
  </si>
  <si>
    <t>que34</t>
  </si>
  <si>
    <t>que35</t>
  </si>
  <si>
    <t>que36</t>
  </si>
  <si>
    <t>que37</t>
  </si>
  <si>
    <t>que38</t>
  </si>
  <si>
    <t>que39</t>
  </si>
  <si>
    <t>que40</t>
  </si>
  <si>
    <t>que41</t>
  </si>
  <si>
    <t>que42</t>
  </si>
  <si>
    <t>que43</t>
  </si>
  <si>
    <t>que44</t>
  </si>
  <si>
    <t>que45</t>
  </si>
  <si>
    <t>que46</t>
  </si>
  <si>
    <t>que47</t>
  </si>
  <si>
    <t>que48</t>
  </si>
  <si>
    <t>que49</t>
  </si>
  <si>
    <t>que50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</si>
</sst>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51"/>
  <sheetViews>
    <sheetView tabSelected="1" topLeftCell="AV1" workbookViewId="0">
      <selection activeCell="BM7" sqref="BM7"/>
    </sheetView>
  </sheetViews>
  <sheetFormatPr defaultRowHeight="14.4" x14ac:dyDescent="0.3"/>
  <cols>
    <col min="1" max="1" width="12" customWidth="1"/>
    <col min="2" max="2" width="22" customWidth="1"/>
    <col min="3" max="3" width="28" customWidth="1"/>
    <col min="4" max="4" width="15" customWidth="1"/>
    <col min="5" max="5" width="20" customWidth="1"/>
    <col min="6" max="6" width="15" customWidth="1"/>
    <col min="7" max="9" width="16" customWidth="1"/>
    <col min="10" max="10" width="14" customWidth="1"/>
    <col min="11" max="12" width="12" customWidth="1"/>
    <col min="13" max="13" width="16" customWidth="1"/>
    <col min="14" max="14" width="12" customWidth="1"/>
    <col min="15" max="15" width="22" customWidth="1"/>
    <col min="16" max="16" width="17.77734375" customWidth="1"/>
    <col min="17" max="17" width="26.6640625" customWidth="1"/>
    <col min="18" max="18" width="16.21875" bestFit="1" customWidth="1"/>
    <col min="19" max="19" width="17.88671875" bestFit="1" customWidth="1"/>
    <col min="20" max="20" width="16" bestFit="1" customWidth="1"/>
    <col min="22" max="22" width="18.44140625" bestFit="1" customWidth="1"/>
    <col min="23" max="23" width="12" bestFit="1" customWidth="1"/>
    <col min="25" max="25" width="17.6640625" bestFit="1" customWidth="1"/>
    <col min="26" max="26" width="25.109375" bestFit="1" customWidth="1"/>
    <col min="27" max="27" width="36.33203125" bestFit="1" customWidth="1"/>
    <col min="28" max="28" width="38.44140625" bestFit="1" customWidth="1"/>
    <col min="29" max="29" width="28.88671875" bestFit="1" customWidth="1"/>
    <col min="30" max="30" width="16.77734375" bestFit="1" customWidth="1"/>
    <col min="38" max="38" width="11.33203125" bestFit="1" customWidth="1"/>
    <col min="55" max="55" width="14.109375" bestFit="1" customWidth="1"/>
    <col min="60" max="60" width="10.21875" bestFit="1" customWidth="1"/>
    <col min="61" max="61" width="13.21875" bestFit="1" customWidth="1"/>
    <col min="62" max="62" width="12.6640625" bestFit="1" customWidth="1"/>
    <col min="63" max="63" width="12.77734375" bestFit="1" customWidth="1"/>
    <col min="64" max="64" width="12.6640625" bestFit="1" customWidth="1"/>
    <col min="65" max="65" width="18.88671875" bestFit="1" customWidth="1"/>
  </cols>
  <sheetData>
    <row r="1" spans="1:6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383</v>
      </c>
      <c r="Q1" s="1" t="s">
        <v>384</v>
      </c>
      <c r="R1" s="1" t="s">
        <v>385</v>
      </c>
      <c r="S1" s="1" t="s">
        <v>386</v>
      </c>
      <c r="T1" s="1" t="s">
        <v>387</v>
      </c>
      <c r="U1" s="1" t="s">
        <v>388</v>
      </c>
      <c r="V1" s="1" t="s">
        <v>389</v>
      </c>
      <c r="W1" s="1" t="s">
        <v>390</v>
      </c>
      <c r="X1" s="1" t="s">
        <v>391</v>
      </c>
      <c r="Y1" s="1" t="s">
        <v>392</v>
      </c>
      <c r="Z1" s="1" t="s">
        <v>393</v>
      </c>
      <c r="AA1" s="1" t="s">
        <v>394</v>
      </c>
      <c r="AB1" s="1" t="s">
        <v>395</v>
      </c>
      <c r="AC1" s="1" t="s">
        <v>396</v>
      </c>
      <c r="AD1" s="1" t="s">
        <v>397</v>
      </c>
      <c r="AE1" s="1" t="s">
        <v>398</v>
      </c>
      <c r="AF1" s="1" t="s">
        <v>399</v>
      </c>
      <c r="AG1" s="1" t="s">
        <v>400</v>
      </c>
      <c r="AH1" s="1" t="s">
        <v>401</v>
      </c>
      <c r="AI1" s="1" t="s">
        <v>402</v>
      </c>
      <c r="AJ1" s="1" t="s">
        <v>403</v>
      </c>
      <c r="AK1" s="1" t="s">
        <v>404</v>
      </c>
      <c r="AL1" s="1" t="s">
        <v>405</v>
      </c>
      <c r="AM1" s="1" t="s">
        <v>406</v>
      </c>
      <c r="AN1" s="1" t="s">
        <v>407</v>
      </c>
      <c r="AO1" s="1" t="s">
        <v>408</v>
      </c>
      <c r="AP1" s="1" t="s">
        <v>409</v>
      </c>
      <c r="AQ1" s="1" t="s">
        <v>410</v>
      </c>
      <c r="AR1" s="1" t="s">
        <v>411</v>
      </c>
      <c r="AS1" s="1" t="s">
        <v>412</v>
      </c>
      <c r="AT1" s="1" t="s">
        <v>413</v>
      </c>
      <c r="AU1" s="1" t="s">
        <v>414</v>
      </c>
      <c r="AV1" s="1" t="s">
        <v>415</v>
      </c>
      <c r="AW1" s="1" t="s">
        <v>416</v>
      </c>
      <c r="AX1" s="1" t="s">
        <v>417</v>
      </c>
      <c r="AY1" s="1" t="s">
        <v>418</v>
      </c>
      <c r="AZ1" s="1" t="s">
        <v>419</v>
      </c>
      <c r="BA1" s="1" t="s">
        <v>420</v>
      </c>
      <c r="BB1" s="1" t="s">
        <v>421</v>
      </c>
      <c r="BC1" s="1" t="s">
        <v>422</v>
      </c>
      <c r="BD1" s="1" t="s">
        <v>423</v>
      </c>
      <c r="BE1" s="1" t="s">
        <v>424</v>
      </c>
      <c r="BF1" s="1" t="s">
        <v>425</v>
      </c>
      <c r="BG1" s="1" t="s">
        <v>426</v>
      </c>
      <c r="BH1" s="1" t="s">
        <v>427</v>
      </c>
      <c r="BI1" s="1" t="s">
        <v>428</v>
      </c>
      <c r="BJ1" s="1" t="s">
        <v>429</v>
      </c>
      <c r="BK1" s="1" t="s">
        <v>430</v>
      </c>
      <c r="BL1" s="1" t="s">
        <v>431</v>
      </c>
      <c r="BM1" s="1" t="s">
        <v>432</v>
      </c>
    </row>
    <row r="2" spans="1:6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85</v>
      </c>
      <c r="H2">
        <v>78</v>
      </c>
      <c r="I2">
        <v>92</v>
      </c>
      <c r="J2">
        <v>88</v>
      </c>
      <c r="K2">
        <v>45000</v>
      </c>
      <c r="L2">
        <v>50000</v>
      </c>
      <c r="M2" t="s">
        <v>21</v>
      </c>
      <c r="N2" t="s">
        <v>22</v>
      </c>
      <c r="O2" t="s">
        <v>23</v>
      </c>
      <c r="P2" t="str">
        <f>UPPER(B2)</f>
        <v xml:space="preserve">  AMIT KUMAR  </v>
      </c>
      <c r="Q2" t="str">
        <f>LOWER(C2)</f>
        <v>amit.kumar@email.com</v>
      </c>
      <c r="R2" t="str">
        <f>PROPER(E2)</f>
        <v>Data Science</v>
      </c>
      <c r="S2" t="str">
        <f>TRIM(B2)</f>
        <v>amit KUMAR</v>
      </c>
      <c r="T2" t="str">
        <f>UPPER(F2)</f>
        <v xml:space="preserve">  MUMBAI  </v>
      </c>
      <c r="U2" t="str">
        <f>LOWER(N2)</f>
        <v>active</v>
      </c>
      <c r="V2" t="str">
        <f>PROPER(O2)</f>
        <v xml:space="preserve">  Good Performance  </v>
      </c>
      <c r="W2" t="str">
        <f>TRIM(F2)</f>
        <v>Mumbai</v>
      </c>
      <c r="X2" t="str">
        <f>UPPER(A2)</f>
        <v>STU001</v>
      </c>
      <c r="Y2" t="str">
        <f>TRIM(O2)</f>
        <v>Good performance</v>
      </c>
      <c r="Z2" t="str">
        <f>CONCATENATE(A2,"-",B2)</f>
        <v xml:space="preserve">STU001-  amit KUMAR  </v>
      </c>
      <c r="AA2" t="str">
        <f>B2&amp;"-"&amp;E2</f>
        <v xml:space="preserve">  amit KUMAR  -DATA science</v>
      </c>
      <c r="AB2" t="str">
        <f>CONCATENATE(C2,"|",D2)</f>
        <v>amit.kumar@email.com|9876543210</v>
      </c>
      <c r="AC2" t="str">
        <f>CONCATENATE(F2,","," ",E2)</f>
        <v xml:space="preserve">  Mumbai  , DATA science</v>
      </c>
      <c r="AD2" t="str">
        <f>CONCATENATE("Student ID:"," ",A2)</f>
        <v>Student ID: STU001</v>
      </c>
      <c r="AE2" t="str">
        <f>LEFT(A2,3)</f>
        <v>STU</v>
      </c>
      <c r="AF2" t="str">
        <f>LEFT(C2,6)</f>
        <v>amit.k</v>
      </c>
      <c r="AG2" t="str">
        <f>RIGHT(D2,4)</f>
        <v>3210</v>
      </c>
      <c r="AH2" t="str">
        <f>RIGHT(A2,3)</f>
        <v>001</v>
      </c>
      <c r="AI2" t="str">
        <f>LEFT(E2,7)</f>
        <v>DATA sc</v>
      </c>
      <c r="AJ2" t="str">
        <f>LEFT(F2,5)</f>
        <v xml:space="preserve">  Mum</v>
      </c>
      <c r="AK2" t="str">
        <f>RIGHT(D2,4)</f>
        <v>3210</v>
      </c>
      <c r="AL2" t="str">
        <f>LEFT(B2,10)</f>
        <v xml:space="preserve">  amit KUM</v>
      </c>
      <c r="AM2" t="str">
        <f>MID(A2,5,3)</f>
        <v>01</v>
      </c>
      <c r="AN2" t="str">
        <f>LEFT(C2,8)</f>
        <v>amit.kum</v>
      </c>
      <c r="AO2">
        <f>SUM(G2,H2,I2)</f>
        <v>255</v>
      </c>
      <c r="AP2">
        <f>AVERAGE(G2,H2,I2)</f>
        <v>85</v>
      </c>
      <c r="AQ2">
        <f>SUM(G:G)</f>
        <v>3798</v>
      </c>
      <c r="AR2">
        <f>AVERAGE(H:H)</f>
        <v>77.16</v>
      </c>
      <c r="AS2">
        <f>SUM(K:K)</f>
        <v>1804000</v>
      </c>
      <c r="AT2">
        <f>MIN(G:G)</f>
        <v>55</v>
      </c>
      <c r="AU2">
        <f>MAX(H:H)</f>
        <v>95</v>
      </c>
      <c r="AV2">
        <f>MIN(J:J)</f>
        <v>52</v>
      </c>
      <c r="AW2">
        <f>MAX(L:L)</f>
        <v>50000</v>
      </c>
      <c r="AX2">
        <f>AVERAGE(J:J)</f>
        <v>75.64</v>
      </c>
      <c r="AY2" t="str">
        <f>IF(G2&gt;=60,"pass","fail")</f>
        <v>pass</v>
      </c>
      <c r="AZ2" t="str">
        <f>IF(J2&gt;=80,"High","Low")</f>
        <v>High</v>
      </c>
      <c r="BA2" t="str">
        <f>IF(K2=L2,"Paid","Pending")</f>
        <v>Pending</v>
      </c>
      <c r="BB2" t="str">
        <f>IF(H2&gt;75,"Good","Average")</f>
        <v>Good</v>
      </c>
      <c r="BC2" t="str">
        <f>IF(N2="active","Active student","Inactive student")</f>
        <v>Active student</v>
      </c>
      <c r="BD2" t="str">
        <f>IF(AP2&gt;85,"Excellent",IF(AND(AP2&gt;=70,AP2&lt;=85),"Good","Average"))</f>
        <v>Good</v>
      </c>
      <c r="BE2" t="str">
        <f>IF(G2&gt;90,"Grade A",IF(AND(G2&gt;=75,G2&lt;=90),"Grade B","Grade C"))</f>
        <v>Grade B</v>
      </c>
      <c r="BF2" t="str">
        <f>IF(K2=L2,"Full Paid",IF(AND(K2&gt;0,K2&lt;L2),"Partial","Not Paid"))</f>
        <v>Partial</v>
      </c>
      <c r="BG2" t="str">
        <f>IF(J2&gt;85,"High",IF(AND(J2&gt;=70,J2&lt;85),"Medium","Low"))</f>
        <v>High</v>
      </c>
      <c r="BH2" t="str">
        <f>IF(AND(G2&gt;=70,J2&gt;=75),"Eligible","Not Eligible")</f>
        <v>Eligible</v>
      </c>
      <c r="BI2" t="str">
        <f>IF(AND(AP2&gt;85,K2=L2),"Scholarship","No Scholarship")</f>
        <v>No Scholarship</v>
      </c>
      <c r="BJ2" t="str">
        <f>IF(AND(H2&gt;=60,I2&gt;=60),"Promoted","Not Promoted")</f>
        <v>Promoted</v>
      </c>
      <c r="BK2" t="str">
        <f>IF(OR(J2&lt;70,G2&lt;60),"Review","Good Standing")</f>
        <v>Good Standing</v>
      </c>
      <c r="BL2" t="str">
        <f>IF(OR(N2="inactive",K2&lt;L2),"Action needed","all clear")</f>
        <v>Action needed</v>
      </c>
      <c r="BM2" t="str">
        <f>IF(NOT(K2&lt;L2),"Payment complete","Payment incompleted")</f>
        <v>Payment incompleted</v>
      </c>
    </row>
    <row r="3" spans="1:65" x14ac:dyDescent="0.3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>
        <v>72</v>
      </c>
      <c r="H3">
        <v>68</v>
      </c>
      <c r="I3">
        <v>75</v>
      </c>
      <c r="J3">
        <v>65</v>
      </c>
      <c r="K3">
        <v>30000</v>
      </c>
      <c r="L3">
        <v>40000</v>
      </c>
      <c r="M3" t="s">
        <v>30</v>
      </c>
      <c r="N3" t="s">
        <v>31</v>
      </c>
      <c r="O3" t="s">
        <v>32</v>
      </c>
      <c r="P3" t="str">
        <f t="shared" ref="P3:P51" si="0">UPPER(B3)</f>
        <v>PRIYA SHARMA</v>
      </c>
      <c r="Q3" t="str">
        <f t="shared" ref="Q3:Q51" si="1">LOWER(C3)</f>
        <v>priya.sharma@email.com</v>
      </c>
      <c r="R3" t="str">
        <f t="shared" ref="R3:R51" si="2">PROPER(E3)</f>
        <v>Web Development</v>
      </c>
      <c r="S3" t="str">
        <f t="shared" ref="S3:S51" si="3">TRIM(B3)</f>
        <v>PRIYA sharma</v>
      </c>
      <c r="T3" t="str">
        <f t="shared" ref="T3:T51" si="4">UPPER(F3)</f>
        <v>DELHI</v>
      </c>
      <c r="U3" t="str">
        <f t="shared" ref="U3:U51" si="5">LOWER(N3)</f>
        <v>active</v>
      </c>
      <c r="V3" t="str">
        <f t="shared" ref="V3:V51" si="6">PROPER(O3)</f>
        <v>Needs Improvement</v>
      </c>
      <c r="W3" t="str">
        <f t="shared" ref="W3:W51" si="7">TRIM(F3)</f>
        <v>Delhi</v>
      </c>
      <c r="X3" t="str">
        <f t="shared" ref="X3:X51" si="8">UPPER(A3)</f>
        <v>STU002</v>
      </c>
      <c r="Y3" t="str">
        <f t="shared" ref="Y3:Y51" si="9">TRIM(O3)</f>
        <v>Needs improvement</v>
      </c>
      <c r="Z3" t="str">
        <f t="shared" ref="Z3:Z51" si="10">CONCATENATE(A3,"-",B3)</f>
        <v>stu002-PRIYA sharma</v>
      </c>
      <c r="AA3" t="str">
        <f t="shared" ref="AA3:AA51" si="11">B3&amp;"-"&amp;E3</f>
        <v>PRIYA sharma-web DEVELOPMENT</v>
      </c>
      <c r="AB3" t="str">
        <f t="shared" ref="AB3:AB51" si="12">CONCATENATE(C3,"|",D3)</f>
        <v>PRIYA.SHARMA@EMAIL.COM|9876543211</v>
      </c>
      <c r="AC3" t="str">
        <f t="shared" ref="AC3:AC51" si="13">CONCATENATE(F3,","," ",E3)</f>
        <v>Delhi, web DEVELOPMENT</v>
      </c>
      <c r="AD3" t="str">
        <f t="shared" ref="AD3:AD51" si="14">CONCATENATE("Student ID:"," ",A3)</f>
        <v>Student ID: stu002</v>
      </c>
      <c r="AE3" t="str">
        <f t="shared" ref="AE3:AE51" si="15">LEFT(A3,3)</f>
        <v>stu</v>
      </c>
      <c r="AF3" t="str">
        <f t="shared" ref="AF3:AF51" si="16">LEFT(C3,6)</f>
        <v>PRIYA.</v>
      </c>
      <c r="AG3" t="str">
        <f t="shared" ref="AG3:AG51" si="17">RIGHT(D3,4)</f>
        <v>3211</v>
      </c>
      <c r="AH3" t="str">
        <f t="shared" ref="AH3:AH51" si="18">RIGHT(A3,3)</f>
        <v>002</v>
      </c>
      <c r="AI3" t="str">
        <f t="shared" ref="AI3:AI51" si="19">LEFT(E3,7)</f>
        <v>web DEV</v>
      </c>
      <c r="AJ3" t="str">
        <f t="shared" ref="AJ3:AJ51" si="20">LEFT(F3,5)</f>
        <v>Delhi</v>
      </c>
      <c r="AK3" t="str">
        <f t="shared" ref="AK3:AK51" si="21">RIGHT(D3,4)</f>
        <v>3211</v>
      </c>
      <c r="AL3" t="str">
        <f t="shared" ref="AL3:AL51" si="22">LEFT(B3,10)</f>
        <v>PRIYA shar</v>
      </c>
      <c r="AM3" t="str">
        <f t="shared" ref="AM3:AM51" si="23">MID(A3,5,3)</f>
        <v>02</v>
      </c>
      <c r="AN3" t="str">
        <f t="shared" ref="AN3:AN51" si="24">LEFT(C3,8)</f>
        <v>PRIYA.SH</v>
      </c>
      <c r="AO3">
        <f t="shared" ref="AO3:AO51" si="25">SUM(G3,H3,I3)</f>
        <v>215</v>
      </c>
      <c r="AP3">
        <f t="shared" ref="AP3:AP51" si="26">AVERAGE(G3,H3,I3)</f>
        <v>71.666666666666671</v>
      </c>
      <c r="AY3" t="str">
        <f t="shared" ref="AY3:AY51" si="27">IF(G3&gt;=60,"pass","fail")</f>
        <v>pass</v>
      </c>
      <c r="AZ3" t="str">
        <f t="shared" ref="AZ3:AZ51" si="28">IF(J3&gt;=80,"High","Low")</f>
        <v>Low</v>
      </c>
      <c r="BA3" t="str">
        <f t="shared" ref="BA3:BA51" si="29">IF(K3=L3,"Paid","Pending")</f>
        <v>Pending</v>
      </c>
      <c r="BB3" t="str">
        <f t="shared" ref="BB3:BB51" si="30">IF(H3&gt;75,"Good","Average")</f>
        <v>Average</v>
      </c>
      <c r="BC3" t="str">
        <f t="shared" ref="BC3:BC51" si="31">IF(N3="active","Active student","Inactive student")</f>
        <v>Active student</v>
      </c>
      <c r="BD3" t="str">
        <f t="shared" ref="BD3:BD51" si="32">IF(AP3&gt;85,"Excellent",IF(AND(AP3&gt;=70,AP3&lt;=85),"Good","Average"))</f>
        <v>Good</v>
      </c>
      <c r="BE3" t="str">
        <f t="shared" ref="BE3:BE51" si="33">IF(G3&gt;90,"Grade A",IF(AND(G3&gt;=75,G3&lt;=90),"Grade B","Grade C"))</f>
        <v>Grade C</v>
      </c>
      <c r="BF3" t="str">
        <f t="shared" ref="BF3:BF51" si="34">IF(K3=L3,"Full Paid",IF(AND(K3&gt;0,K3&lt;L3),"Partial","Not Paid"))</f>
        <v>Partial</v>
      </c>
      <c r="BG3" t="str">
        <f t="shared" ref="BG3:BG51" si="35">IF(J3&gt;85,"High",IF(AND(J3&gt;=70,J3&lt;85),"Medium","Low"))</f>
        <v>Low</v>
      </c>
      <c r="BH3" t="str">
        <f t="shared" ref="BH3:BH51" si="36">IF(AND(G3&gt;=70,J3&gt;=75),"Eligible","Not Eligible")</f>
        <v>Not Eligible</v>
      </c>
      <c r="BI3" t="str">
        <f t="shared" ref="BI3:BI51" si="37">IF(AND(AP3&gt;85,K3=L3),"Scholarship","No Scholarship")</f>
        <v>No Scholarship</v>
      </c>
      <c r="BJ3" t="str">
        <f t="shared" ref="BJ3:BJ51" si="38">IF(AND(H3&gt;=60,I3&gt;=60),"Promoted","Not Promoted")</f>
        <v>Promoted</v>
      </c>
      <c r="BK3" t="str">
        <f t="shared" ref="BK3:BK51" si="39">IF(OR(J3&lt;70,G3&lt;60),"Review","Good Standing")</f>
        <v>Review</v>
      </c>
      <c r="BL3" t="str">
        <f t="shared" ref="BL3:BL51" si="40">IF(OR(N3="inactive",K3&lt;L3),"Action needed","all clear")</f>
        <v>Action needed</v>
      </c>
      <c r="BM3" t="str">
        <f t="shared" ref="BM3:BM51" si="41">IF(NOT(K3&lt;L3),"Payment complete","Payment incompleted")</f>
        <v>Payment incompleted</v>
      </c>
    </row>
    <row r="4" spans="1:65" x14ac:dyDescent="0.3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>
        <v>90</v>
      </c>
      <c r="H4">
        <v>88</v>
      </c>
      <c r="I4">
        <v>85</v>
      </c>
      <c r="J4">
        <v>92</v>
      </c>
      <c r="K4">
        <v>35000</v>
      </c>
      <c r="L4">
        <v>35000</v>
      </c>
      <c r="M4" t="s">
        <v>39</v>
      </c>
      <c r="N4" t="s">
        <v>40</v>
      </c>
      <c r="O4" t="s">
        <v>41</v>
      </c>
      <c r="P4" t="str">
        <f t="shared" si="0"/>
        <v>RAHUL  VERMA</v>
      </c>
      <c r="Q4" t="str">
        <f t="shared" si="1"/>
        <v>rahul_verma@mail.in</v>
      </c>
      <c r="R4" t="str">
        <f t="shared" si="2"/>
        <v>Digital Marketing</v>
      </c>
      <c r="S4" t="str">
        <f t="shared" si="3"/>
        <v>rahul VERMA</v>
      </c>
      <c r="T4" t="str">
        <f t="shared" si="4"/>
        <v xml:space="preserve">  BANGALORE  </v>
      </c>
      <c r="U4" t="str">
        <f t="shared" si="5"/>
        <v>active</v>
      </c>
      <c r="V4" t="str">
        <f t="shared" si="6"/>
        <v>Excellent Student</v>
      </c>
      <c r="W4" t="str">
        <f t="shared" si="7"/>
        <v>Bangalore</v>
      </c>
      <c r="X4" t="str">
        <f t="shared" si="8"/>
        <v>STU003</v>
      </c>
      <c r="Y4" t="str">
        <f t="shared" si="9"/>
        <v>Excellent student</v>
      </c>
      <c r="Z4" t="str">
        <f t="shared" si="10"/>
        <v>Stu003-rahul  VERMA</v>
      </c>
      <c r="AA4" t="str">
        <f t="shared" si="11"/>
        <v>rahul  VERMA-Digital MARKETING</v>
      </c>
      <c r="AB4" t="str">
        <f t="shared" si="12"/>
        <v>rahul_verma@mail.in|9876543212</v>
      </c>
      <c r="AC4" t="str">
        <f t="shared" si="13"/>
        <v xml:space="preserve">  Bangalore  , Digital MARKETING</v>
      </c>
      <c r="AD4" t="str">
        <f t="shared" si="14"/>
        <v>Student ID: Stu003</v>
      </c>
      <c r="AE4" t="str">
        <f t="shared" si="15"/>
        <v>Stu</v>
      </c>
      <c r="AF4" t="str">
        <f t="shared" si="16"/>
        <v>rahul_</v>
      </c>
      <c r="AG4" t="str">
        <f t="shared" si="17"/>
        <v>3212</v>
      </c>
      <c r="AH4" t="str">
        <f t="shared" si="18"/>
        <v>003</v>
      </c>
      <c r="AI4" t="str">
        <f t="shared" si="19"/>
        <v>Digital</v>
      </c>
      <c r="AJ4" t="str">
        <f t="shared" si="20"/>
        <v xml:space="preserve">  Ban</v>
      </c>
      <c r="AK4" t="str">
        <f t="shared" si="21"/>
        <v>3212</v>
      </c>
      <c r="AL4" t="str">
        <f t="shared" si="22"/>
        <v>rahul  VER</v>
      </c>
      <c r="AM4" t="str">
        <f t="shared" si="23"/>
        <v>03</v>
      </c>
      <c r="AN4" t="str">
        <f t="shared" si="24"/>
        <v>rahul_ve</v>
      </c>
      <c r="AO4">
        <f t="shared" si="25"/>
        <v>263</v>
      </c>
      <c r="AP4">
        <f t="shared" si="26"/>
        <v>87.666666666666671</v>
      </c>
      <c r="AY4" t="str">
        <f t="shared" si="27"/>
        <v>pass</v>
      </c>
      <c r="AZ4" t="str">
        <f t="shared" si="28"/>
        <v>High</v>
      </c>
      <c r="BA4" t="str">
        <f t="shared" si="29"/>
        <v>Paid</v>
      </c>
      <c r="BB4" t="str">
        <f t="shared" si="30"/>
        <v>Good</v>
      </c>
      <c r="BC4" t="str">
        <f t="shared" si="31"/>
        <v>Active student</v>
      </c>
      <c r="BD4" t="str">
        <f t="shared" si="32"/>
        <v>Excellent</v>
      </c>
      <c r="BE4" t="str">
        <f t="shared" si="33"/>
        <v>Grade B</v>
      </c>
      <c r="BF4" t="str">
        <f t="shared" si="34"/>
        <v>Full Paid</v>
      </c>
      <c r="BG4" t="str">
        <f t="shared" si="35"/>
        <v>High</v>
      </c>
      <c r="BH4" t="str">
        <f t="shared" si="36"/>
        <v>Eligible</v>
      </c>
      <c r="BI4" t="str">
        <f t="shared" si="37"/>
        <v>Scholarship</v>
      </c>
      <c r="BJ4" t="str">
        <f t="shared" si="38"/>
        <v>Promoted</v>
      </c>
      <c r="BK4" t="str">
        <f t="shared" si="39"/>
        <v>Good Standing</v>
      </c>
      <c r="BL4" t="str">
        <f t="shared" si="40"/>
        <v>all clear</v>
      </c>
      <c r="BM4" t="str">
        <f t="shared" si="41"/>
        <v>Payment complete</v>
      </c>
    </row>
    <row r="5" spans="1:65" x14ac:dyDescent="0.3">
      <c r="A5" t="s">
        <v>42</v>
      </c>
      <c r="B5" t="s">
        <v>43</v>
      </c>
      <c r="C5" t="s">
        <v>44</v>
      </c>
      <c r="D5" t="s">
        <v>45</v>
      </c>
      <c r="E5" t="s">
        <v>46</v>
      </c>
      <c r="F5" t="s">
        <v>47</v>
      </c>
      <c r="G5">
        <v>65</v>
      </c>
      <c r="H5">
        <v>70</v>
      </c>
      <c r="I5">
        <v>68</v>
      </c>
      <c r="J5">
        <v>58</v>
      </c>
      <c r="K5">
        <v>25000</v>
      </c>
      <c r="L5">
        <v>35000</v>
      </c>
      <c r="M5" t="s">
        <v>48</v>
      </c>
      <c r="N5" t="s">
        <v>49</v>
      </c>
      <c r="O5" t="s">
        <v>50</v>
      </c>
      <c r="P5" t="str">
        <f t="shared" si="0"/>
        <v xml:space="preserve">SNEHA PATEL  </v>
      </c>
      <c r="Q5" t="str">
        <f t="shared" si="1"/>
        <v>sneha.patel@email.com</v>
      </c>
      <c r="R5" t="str">
        <f t="shared" si="2"/>
        <v>Graphic Design</v>
      </c>
      <c r="S5" t="str">
        <f t="shared" si="3"/>
        <v>sneha PATEL</v>
      </c>
      <c r="T5" t="str">
        <f t="shared" si="4"/>
        <v>PUNE</v>
      </c>
      <c r="U5" t="str">
        <f t="shared" si="5"/>
        <v>inactive</v>
      </c>
      <c r="V5" t="str">
        <f t="shared" si="6"/>
        <v xml:space="preserve">  Payment Pending  </v>
      </c>
      <c r="W5" t="str">
        <f t="shared" si="7"/>
        <v>Pune</v>
      </c>
      <c r="X5" t="str">
        <f t="shared" si="8"/>
        <v>STU004</v>
      </c>
      <c r="Y5" t="str">
        <f t="shared" si="9"/>
        <v>Payment pending</v>
      </c>
      <c r="Z5" t="str">
        <f t="shared" si="10"/>
        <v xml:space="preserve">STU004-sneha PATEL  </v>
      </c>
      <c r="AA5" t="str">
        <f t="shared" si="11"/>
        <v>sneha PATEL  -graphic DESIGN</v>
      </c>
      <c r="AB5" t="str">
        <f t="shared" si="12"/>
        <v>sneha.patel@email.com|9876543213</v>
      </c>
      <c r="AC5" t="str">
        <f t="shared" si="13"/>
        <v>Pune, graphic DESIGN</v>
      </c>
      <c r="AD5" t="str">
        <f t="shared" si="14"/>
        <v>Student ID: STU004</v>
      </c>
      <c r="AE5" t="str">
        <f t="shared" si="15"/>
        <v>STU</v>
      </c>
      <c r="AF5" t="str">
        <f t="shared" si="16"/>
        <v>sneha.</v>
      </c>
      <c r="AG5" t="str">
        <f t="shared" si="17"/>
        <v>3213</v>
      </c>
      <c r="AH5" t="str">
        <f t="shared" si="18"/>
        <v>004</v>
      </c>
      <c r="AI5" t="str">
        <f t="shared" si="19"/>
        <v>graphic</v>
      </c>
      <c r="AJ5" t="str">
        <f t="shared" si="20"/>
        <v>Pune</v>
      </c>
      <c r="AK5" t="str">
        <f t="shared" si="21"/>
        <v>3213</v>
      </c>
      <c r="AL5" t="str">
        <f t="shared" si="22"/>
        <v>sneha PATE</v>
      </c>
      <c r="AM5" t="str">
        <f t="shared" si="23"/>
        <v>04</v>
      </c>
      <c r="AN5" t="str">
        <f t="shared" si="24"/>
        <v>sneha.pa</v>
      </c>
      <c r="AO5">
        <f t="shared" si="25"/>
        <v>203</v>
      </c>
      <c r="AP5">
        <f t="shared" si="26"/>
        <v>67.666666666666671</v>
      </c>
      <c r="AY5" t="str">
        <f t="shared" si="27"/>
        <v>pass</v>
      </c>
      <c r="AZ5" t="str">
        <f t="shared" si="28"/>
        <v>Low</v>
      </c>
      <c r="BA5" t="str">
        <f t="shared" si="29"/>
        <v>Pending</v>
      </c>
      <c r="BB5" t="str">
        <f t="shared" si="30"/>
        <v>Average</v>
      </c>
      <c r="BC5" t="str">
        <f t="shared" si="31"/>
        <v>Inactive student</v>
      </c>
      <c r="BD5" t="str">
        <f t="shared" si="32"/>
        <v>Average</v>
      </c>
      <c r="BE5" t="str">
        <f t="shared" si="33"/>
        <v>Grade C</v>
      </c>
      <c r="BF5" t="str">
        <f t="shared" si="34"/>
        <v>Partial</v>
      </c>
      <c r="BG5" t="str">
        <f t="shared" si="35"/>
        <v>Low</v>
      </c>
      <c r="BH5" t="str">
        <f t="shared" si="36"/>
        <v>Not Eligible</v>
      </c>
      <c r="BI5" t="str">
        <f t="shared" si="37"/>
        <v>No Scholarship</v>
      </c>
      <c r="BJ5" t="str">
        <f t="shared" si="38"/>
        <v>Promoted</v>
      </c>
      <c r="BK5" t="str">
        <f t="shared" si="39"/>
        <v>Review</v>
      </c>
      <c r="BL5" t="str">
        <f t="shared" si="40"/>
        <v>Action needed</v>
      </c>
      <c r="BM5" t="str">
        <f t="shared" si="41"/>
        <v>Payment incompleted</v>
      </c>
    </row>
    <row r="6" spans="1:65" x14ac:dyDescent="0.3">
      <c r="A6" t="s">
        <v>51</v>
      </c>
      <c r="B6" t="s">
        <v>52</v>
      </c>
      <c r="C6" t="s">
        <v>53</v>
      </c>
      <c r="D6" t="s">
        <v>54</v>
      </c>
      <c r="E6" t="s">
        <v>19</v>
      </c>
      <c r="F6" t="s">
        <v>55</v>
      </c>
      <c r="G6">
        <v>88</v>
      </c>
      <c r="H6">
        <v>82</v>
      </c>
      <c r="I6">
        <v>90</v>
      </c>
      <c r="J6">
        <v>85</v>
      </c>
      <c r="K6">
        <v>50000</v>
      </c>
      <c r="L6">
        <v>50000</v>
      </c>
      <c r="M6" t="s">
        <v>56</v>
      </c>
      <c r="N6" t="s">
        <v>31</v>
      </c>
      <c r="O6" t="s">
        <v>57</v>
      </c>
      <c r="P6" t="str">
        <f t="shared" si="0"/>
        <v xml:space="preserve">  VIKRAM SINGH</v>
      </c>
      <c r="Q6" t="str">
        <f t="shared" si="1"/>
        <v>vikram.singh@mail.in</v>
      </c>
      <c r="R6" t="str">
        <f t="shared" si="2"/>
        <v>Data Science</v>
      </c>
      <c r="S6" t="str">
        <f t="shared" si="3"/>
        <v>VIKRAM singh</v>
      </c>
      <c r="T6" t="str">
        <f t="shared" si="4"/>
        <v xml:space="preserve">  HYDERABAD  </v>
      </c>
      <c r="U6" t="str">
        <f t="shared" si="5"/>
        <v>active</v>
      </c>
      <c r="V6" t="str">
        <f t="shared" si="6"/>
        <v>Regular Attendance</v>
      </c>
      <c r="W6" t="str">
        <f t="shared" si="7"/>
        <v>Hyderabad</v>
      </c>
      <c r="X6" t="str">
        <f t="shared" si="8"/>
        <v>STU005</v>
      </c>
      <c r="Y6" t="str">
        <f t="shared" si="9"/>
        <v>Regular attendance</v>
      </c>
      <c r="Z6" t="str">
        <f t="shared" si="10"/>
        <v>stu005-  VIKRAM singh</v>
      </c>
      <c r="AA6" t="str">
        <f t="shared" si="11"/>
        <v xml:space="preserve">  VIKRAM singh-DATA science</v>
      </c>
      <c r="AB6" t="str">
        <f t="shared" si="12"/>
        <v>vikram.singh@mail.in|9876543214</v>
      </c>
      <c r="AC6" t="str">
        <f t="shared" si="13"/>
        <v xml:space="preserve">  Hyderabad  , DATA science</v>
      </c>
      <c r="AD6" t="str">
        <f t="shared" si="14"/>
        <v>Student ID: stu005</v>
      </c>
      <c r="AE6" t="str">
        <f t="shared" si="15"/>
        <v>stu</v>
      </c>
      <c r="AF6" t="str">
        <f t="shared" si="16"/>
        <v>vikram</v>
      </c>
      <c r="AG6" t="str">
        <f t="shared" si="17"/>
        <v>3214</v>
      </c>
      <c r="AH6" t="str">
        <f t="shared" si="18"/>
        <v>005</v>
      </c>
      <c r="AI6" t="str">
        <f t="shared" si="19"/>
        <v>DATA sc</v>
      </c>
      <c r="AJ6" t="str">
        <f t="shared" si="20"/>
        <v xml:space="preserve">  Hyd</v>
      </c>
      <c r="AK6" t="str">
        <f t="shared" si="21"/>
        <v>3214</v>
      </c>
      <c r="AL6" t="str">
        <f t="shared" si="22"/>
        <v xml:space="preserve">  VIKRAM s</v>
      </c>
      <c r="AM6" t="str">
        <f t="shared" si="23"/>
        <v>05</v>
      </c>
      <c r="AN6" t="str">
        <f t="shared" si="24"/>
        <v>vikram.s</v>
      </c>
      <c r="AO6">
        <f t="shared" si="25"/>
        <v>260</v>
      </c>
      <c r="AP6">
        <f t="shared" si="26"/>
        <v>86.666666666666671</v>
      </c>
      <c r="AY6" t="str">
        <f t="shared" si="27"/>
        <v>pass</v>
      </c>
      <c r="AZ6" t="str">
        <f t="shared" si="28"/>
        <v>High</v>
      </c>
      <c r="BA6" t="str">
        <f t="shared" si="29"/>
        <v>Paid</v>
      </c>
      <c r="BB6" t="str">
        <f t="shared" si="30"/>
        <v>Good</v>
      </c>
      <c r="BC6" t="str">
        <f t="shared" si="31"/>
        <v>Active student</v>
      </c>
      <c r="BD6" t="str">
        <f t="shared" si="32"/>
        <v>Excellent</v>
      </c>
      <c r="BE6" t="str">
        <f t="shared" si="33"/>
        <v>Grade B</v>
      </c>
      <c r="BF6" t="str">
        <f t="shared" si="34"/>
        <v>Full Paid</v>
      </c>
      <c r="BG6" t="str">
        <f t="shared" si="35"/>
        <v>Low</v>
      </c>
      <c r="BH6" t="str">
        <f t="shared" si="36"/>
        <v>Eligible</v>
      </c>
      <c r="BI6" t="str">
        <f t="shared" si="37"/>
        <v>Scholarship</v>
      </c>
      <c r="BJ6" t="str">
        <f t="shared" si="38"/>
        <v>Promoted</v>
      </c>
      <c r="BK6" t="str">
        <f t="shared" si="39"/>
        <v>Good Standing</v>
      </c>
      <c r="BL6" t="str">
        <f t="shared" si="40"/>
        <v>all clear</v>
      </c>
      <c r="BM6" t="str">
        <f t="shared" si="41"/>
        <v>Payment complete</v>
      </c>
    </row>
    <row r="7" spans="1:65" x14ac:dyDescent="0.3">
      <c r="A7" t="s">
        <v>58</v>
      </c>
      <c r="B7" t="s">
        <v>59</v>
      </c>
      <c r="C7" t="s">
        <v>60</v>
      </c>
      <c r="D7" t="s">
        <v>61</v>
      </c>
      <c r="E7" t="s">
        <v>62</v>
      </c>
      <c r="F7" t="s">
        <v>63</v>
      </c>
      <c r="G7">
        <v>78</v>
      </c>
      <c r="H7">
        <v>75</v>
      </c>
      <c r="I7">
        <v>80</v>
      </c>
      <c r="J7">
        <v>78</v>
      </c>
      <c r="K7">
        <v>38000</v>
      </c>
      <c r="L7">
        <v>40000</v>
      </c>
      <c r="M7" t="s">
        <v>64</v>
      </c>
      <c r="N7" t="s">
        <v>22</v>
      </c>
      <c r="O7" t="s">
        <v>65</v>
      </c>
      <c r="P7" t="str">
        <f t="shared" si="0"/>
        <v xml:space="preserve">ANJALI REDDY  </v>
      </c>
      <c r="Q7" t="str">
        <f t="shared" si="1"/>
        <v>anjali_reddy@email.com</v>
      </c>
      <c r="R7" t="str">
        <f t="shared" si="2"/>
        <v>Web Development</v>
      </c>
      <c r="S7" t="str">
        <f t="shared" si="3"/>
        <v>anjali REDDY</v>
      </c>
      <c r="T7" t="str">
        <f t="shared" si="4"/>
        <v>CHENNAI</v>
      </c>
      <c r="U7" t="str">
        <f t="shared" si="5"/>
        <v>active</v>
      </c>
      <c r="V7" t="str">
        <f t="shared" si="6"/>
        <v>Good Progress</v>
      </c>
      <c r="W7" t="str">
        <f t="shared" si="7"/>
        <v>Chennai</v>
      </c>
      <c r="X7" t="str">
        <f t="shared" si="8"/>
        <v>STU006</v>
      </c>
      <c r="Y7" t="str">
        <f t="shared" si="9"/>
        <v>Good progress</v>
      </c>
      <c r="Z7" t="str">
        <f t="shared" si="10"/>
        <v xml:space="preserve">Stu006-anjali REDDY  </v>
      </c>
      <c r="AA7" t="str">
        <f t="shared" si="11"/>
        <v>anjali REDDY  -WEB development</v>
      </c>
      <c r="AB7" t="str">
        <f t="shared" si="12"/>
        <v>anjali_reddy@email.com|9876543215</v>
      </c>
      <c r="AC7" t="str">
        <f t="shared" si="13"/>
        <v>Chennai, WEB development</v>
      </c>
      <c r="AD7" t="str">
        <f t="shared" si="14"/>
        <v>Student ID: Stu006</v>
      </c>
      <c r="AE7" t="str">
        <f t="shared" si="15"/>
        <v>Stu</v>
      </c>
      <c r="AF7" t="str">
        <f t="shared" si="16"/>
        <v>anjali</v>
      </c>
      <c r="AG7" t="str">
        <f t="shared" si="17"/>
        <v>3215</v>
      </c>
      <c r="AH7" t="str">
        <f t="shared" si="18"/>
        <v>006</v>
      </c>
      <c r="AI7" t="str">
        <f t="shared" si="19"/>
        <v>WEB dev</v>
      </c>
      <c r="AJ7" t="str">
        <f t="shared" si="20"/>
        <v>Chenn</v>
      </c>
      <c r="AK7" t="str">
        <f t="shared" si="21"/>
        <v>3215</v>
      </c>
      <c r="AL7" t="str">
        <f t="shared" si="22"/>
        <v>anjali RED</v>
      </c>
      <c r="AM7" t="str">
        <f t="shared" si="23"/>
        <v>06</v>
      </c>
      <c r="AN7" t="str">
        <f t="shared" si="24"/>
        <v>anjali_r</v>
      </c>
      <c r="AO7">
        <f t="shared" si="25"/>
        <v>233</v>
      </c>
      <c r="AP7">
        <f t="shared" si="26"/>
        <v>77.666666666666671</v>
      </c>
      <c r="AY7" t="str">
        <f t="shared" si="27"/>
        <v>pass</v>
      </c>
      <c r="AZ7" t="str">
        <f t="shared" si="28"/>
        <v>Low</v>
      </c>
      <c r="BA7" t="str">
        <f t="shared" si="29"/>
        <v>Pending</v>
      </c>
      <c r="BB7" t="str">
        <f t="shared" si="30"/>
        <v>Average</v>
      </c>
      <c r="BC7" t="str">
        <f t="shared" si="31"/>
        <v>Active student</v>
      </c>
      <c r="BD7" t="str">
        <f t="shared" si="32"/>
        <v>Good</v>
      </c>
      <c r="BE7" t="str">
        <f t="shared" si="33"/>
        <v>Grade B</v>
      </c>
      <c r="BF7" t="str">
        <f t="shared" si="34"/>
        <v>Partial</v>
      </c>
      <c r="BG7" t="str">
        <f t="shared" si="35"/>
        <v>Medium</v>
      </c>
      <c r="BH7" t="str">
        <f t="shared" si="36"/>
        <v>Eligible</v>
      </c>
      <c r="BI7" t="str">
        <f t="shared" si="37"/>
        <v>No Scholarship</v>
      </c>
      <c r="BJ7" t="str">
        <f t="shared" si="38"/>
        <v>Promoted</v>
      </c>
      <c r="BK7" t="str">
        <f t="shared" si="39"/>
        <v>Good Standing</v>
      </c>
      <c r="BL7" t="str">
        <f t="shared" si="40"/>
        <v>Action needed</v>
      </c>
      <c r="BM7" t="str">
        <f t="shared" si="41"/>
        <v>Payment incompleted</v>
      </c>
    </row>
    <row r="8" spans="1:65" x14ac:dyDescent="0.3">
      <c r="A8" t="s">
        <v>66</v>
      </c>
      <c r="B8" t="s">
        <v>67</v>
      </c>
      <c r="C8" t="s">
        <v>68</v>
      </c>
      <c r="D8" t="s">
        <v>69</v>
      </c>
      <c r="E8" t="s">
        <v>70</v>
      </c>
      <c r="F8" t="s">
        <v>71</v>
      </c>
      <c r="G8">
        <v>82</v>
      </c>
      <c r="H8">
        <v>79</v>
      </c>
      <c r="I8">
        <v>84</v>
      </c>
      <c r="J8">
        <v>80</v>
      </c>
      <c r="K8">
        <v>32000</v>
      </c>
      <c r="L8">
        <v>35000</v>
      </c>
      <c r="M8" t="s">
        <v>72</v>
      </c>
      <c r="N8" t="s">
        <v>40</v>
      </c>
      <c r="O8" t="s">
        <v>73</v>
      </c>
      <c r="P8" t="str">
        <f t="shared" si="0"/>
        <v xml:space="preserve">  KARAN MALHOTRA</v>
      </c>
      <c r="Q8" t="str">
        <f t="shared" si="1"/>
        <v>karan.malhotra@mail.in</v>
      </c>
      <c r="R8" t="str">
        <f t="shared" si="2"/>
        <v>Digital Marketing</v>
      </c>
      <c r="S8" t="str">
        <f t="shared" si="3"/>
        <v>karan MALHOTRA</v>
      </c>
      <c r="T8" t="str">
        <f t="shared" si="4"/>
        <v xml:space="preserve">  AHMEDABAD  </v>
      </c>
      <c r="U8" t="str">
        <f t="shared" si="5"/>
        <v>active</v>
      </c>
      <c r="V8" t="str">
        <f t="shared" si="6"/>
        <v xml:space="preserve">  Participative  </v>
      </c>
      <c r="W8" t="str">
        <f t="shared" si="7"/>
        <v>Ahmedabad</v>
      </c>
      <c r="X8" t="str">
        <f t="shared" si="8"/>
        <v>STU007</v>
      </c>
      <c r="Y8" t="str">
        <f t="shared" si="9"/>
        <v>Participative</v>
      </c>
      <c r="Z8" t="str">
        <f t="shared" si="10"/>
        <v>STU007-  karan MALHOTRA</v>
      </c>
      <c r="AA8" t="str">
        <f t="shared" si="11"/>
        <v xml:space="preserve">  karan MALHOTRA-digital marketing</v>
      </c>
      <c r="AB8" t="str">
        <f t="shared" si="12"/>
        <v>karan.malhotra@mail.in|9876543216</v>
      </c>
      <c r="AC8" t="str">
        <f t="shared" si="13"/>
        <v xml:space="preserve">  Ahmedabad  , digital marketing</v>
      </c>
      <c r="AD8" t="str">
        <f t="shared" si="14"/>
        <v>Student ID: STU007</v>
      </c>
      <c r="AE8" t="str">
        <f t="shared" si="15"/>
        <v>STU</v>
      </c>
      <c r="AF8" t="str">
        <f t="shared" si="16"/>
        <v>karan.</v>
      </c>
      <c r="AG8" t="str">
        <f t="shared" si="17"/>
        <v>3216</v>
      </c>
      <c r="AH8" t="str">
        <f t="shared" si="18"/>
        <v>007</v>
      </c>
      <c r="AI8" t="str">
        <f t="shared" si="19"/>
        <v>digital</v>
      </c>
      <c r="AJ8" t="str">
        <f t="shared" si="20"/>
        <v xml:space="preserve">  Ahm</v>
      </c>
      <c r="AK8" t="str">
        <f t="shared" si="21"/>
        <v>3216</v>
      </c>
      <c r="AL8" t="str">
        <f t="shared" si="22"/>
        <v xml:space="preserve">  karan MA</v>
      </c>
      <c r="AM8" t="str">
        <f t="shared" si="23"/>
        <v>07</v>
      </c>
      <c r="AN8" t="str">
        <f t="shared" si="24"/>
        <v>karan.ma</v>
      </c>
      <c r="AO8">
        <f t="shared" si="25"/>
        <v>245</v>
      </c>
      <c r="AP8">
        <f t="shared" si="26"/>
        <v>81.666666666666671</v>
      </c>
      <c r="AY8" t="str">
        <f t="shared" si="27"/>
        <v>pass</v>
      </c>
      <c r="AZ8" t="str">
        <f t="shared" si="28"/>
        <v>High</v>
      </c>
      <c r="BA8" t="str">
        <f t="shared" si="29"/>
        <v>Pending</v>
      </c>
      <c r="BB8" t="str">
        <f t="shared" si="30"/>
        <v>Good</v>
      </c>
      <c r="BC8" t="str">
        <f t="shared" si="31"/>
        <v>Active student</v>
      </c>
      <c r="BD8" t="str">
        <f t="shared" si="32"/>
        <v>Good</v>
      </c>
      <c r="BE8" t="str">
        <f t="shared" si="33"/>
        <v>Grade B</v>
      </c>
      <c r="BF8" t="str">
        <f t="shared" si="34"/>
        <v>Partial</v>
      </c>
      <c r="BG8" t="str">
        <f t="shared" si="35"/>
        <v>Medium</v>
      </c>
      <c r="BH8" t="str">
        <f t="shared" si="36"/>
        <v>Eligible</v>
      </c>
      <c r="BI8" t="str">
        <f t="shared" si="37"/>
        <v>No Scholarship</v>
      </c>
      <c r="BJ8" t="str">
        <f t="shared" si="38"/>
        <v>Promoted</v>
      </c>
      <c r="BK8" t="str">
        <f t="shared" si="39"/>
        <v>Good Standing</v>
      </c>
      <c r="BL8" t="str">
        <f t="shared" si="40"/>
        <v>Action needed</v>
      </c>
      <c r="BM8" t="str">
        <f t="shared" si="41"/>
        <v>Payment incompleted</v>
      </c>
    </row>
    <row r="9" spans="1:65" x14ac:dyDescent="0.3">
      <c r="A9" t="s">
        <v>74</v>
      </c>
      <c r="B9" t="s">
        <v>75</v>
      </c>
      <c r="C9" t="s">
        <v>76</v>
      </c>
      <c r="D9" t="s">
        <v>77</v>
      </c>
      <c r="E9" t="s">
        <v>78</v>
      </c>
      <c r="F9" t="s">
        <v>79</v>
      </c>
      <c r="G9">
        <v>55</v>
      </c>
      <c r="H9">
        <v>60</v>
      </c>
      <c r="I9">
        <v>58</v>
      </c>
      <c r="J9">
        <v>52</v>
      </c>
      <c r="K9">
        <v>20000</v>
      </c>
      <c r="L9">
        <v>35000</v>
      </c>
      <c r="M9" t="s">
        <v>80</v>
      </c>
      <c r="N9" t="s">
        <v>81</v>
      </c>
      <c r="O9" t="s">
        <v>82</v>
      </c>
      <c r="P9" t="str">
        <f t="shared" si="0"/>
        <v>NEHA GUPTA</v>
      </c>
      <c r="Q9" t="str">
        <f t="shared" si="1"/>
        <v>neha.gupta@email.com</v>
      </c>
      <c r="R9" t="str">
        <f t="shared" si="2"/>
        <v>Graphic Design</v>
      </c>
      <c r="S9" t="str">
        <f t="shared" si="3"/>
        <v>NEHA gupta</v>
      </c>
      <c r="T9" t="str">
        <f t="shared" si="4"/>
        <v>JAIPUR</v>
      </c>
      <c r="U9" t="str">
        <f t="shared" si="5"/>
        <v>inactive</v>
      </c>
      <c r="V9" t="str">
        <f t="shared" si="6"/>
        <v>Low Attendance</v>
      </c>
      <c r="W9" t="str">
        <f t="shared" si="7"/>
        <v>Jaipur</v>
      </c>
      <c r="X9" t="str">
        <f t="shared" si="8"/>
        <v>STU008</v>
      </c>
      <c r="Y9" t="str">
        <f t="shared" si="9"/>
        <v>Low attendance</v>
      </c>
      <c r="Z9" t="str">
        <f t="shared" si="10"/>
        <v>stu008-NEHA gupta</v>
      </c>
      <c r="AA9" t="str">
        <f t="shared" si="11"/>
        <v>NEHA gupta-GRAPHIC design</v>
      </c>
      <c r="AB9" t="str">
        <f t="shared" si="12"/>
        <v>neha.gupta@email.com|9876543217</v>
      </c>
      <c r="AC9" t="str">
        <f t="shared" si="13"/>
        <v>Jaipur, GRAPHIC design</v>
      </c>
      <c r="AD9" t="str">
        <f t="shared" si="14"/>
        <v>Student ID: stu008</v>
      </c>
      <c r="AE9" t="str">
        <f t="shared" si="15"/>
        <v>stu</v>
      </c>
      <c r="AF9" t="str">
        <f t="shared" si="16"/>
        <v>neha.g</v>
      </c>
      <c r="AG9" t="str">
        <f t="shared" si="17"/>
        <v>3217</v>
      </c>
      <c r="AH9" t="str">
        <f t="shared" si="18"/>
        <v>008</v>
      </c>
      <c r="AI9" t="str">
        <f t="shared" si="19"/>
        <v>GRAPHIC</v>
      </c>
      <c r="AJ9" t="str">
        <f t="shared" si="20"/>
        <v>Jaipu</v>
      </c>
      <c r="AK9" t="str">
        <f t="shared" si="21"/>
        <v>3217</v>
      </c>
      <c r="AL9" t="str">
        <f t="shared" si="22"/>
        <v>NEHA gupta</v>
      </c>
      <c r="AM9" t="str">
        <f t="shared" si="23"/>
        <v>08</v>
      </c>
      <c r="AN9" t="str">
        <f t="shared" si="24"/>
        <v>neha.gup</v>
      </c>
      <c r="AO9">
        <f t="shared" si="25"/>
        <v>173</v>
      </c>
      <c r="AP9">
        <f t="shared" si="26"/>
        <v>57.666666666666664</v>
      </c>
      <c r="AY9" t="str">
        <f t="shared" si="27"/>
        <v>fail</v>
      </c>
      <c r="AZ9" t="str">
        <f t="shared" si="28"/>
        <v>Low</v>
      </c>
      <c r="BA9" t="str">
        <f t="shared" si="29"/>
        <v>Pending</v>
      </c>
      <c r="BB9" t="str">
        <f t="shared" si="30"/>
        <v>Average</v>
      </c>
      <c r="BC9" t="str">
        <f t="shared" si="31"/>
        <v>Inactive student</v>
      </c>
      <c r="BD9" t="str">
        <f t="shared" si="32"/>
        <v>Average</v>
      </c>
      <c r="BE9" t="str">
        <f t="shared" si="33"/>
        <v>Grade C</v>
      </c>
      <c r="BF9" t="str">
        <f t="shared" si="34"/>
        <v>Partial</v>
      </c>
      <c r="BG9" t="str">
        <f t="shared" si="35"/>
        <v>Low</v>
      </c>
      <c r="BH9" t="str">
        <f t="shared" si="36"/>
        <v>Not Eligible</v>
      </c>
      <c r="BI9" t="str">
        <f t="shared" si="37"/>
        <v>No Scholarship</v>
      </c>
      <c r="BJ9" t="str">
        <f t="shared" si="38"/>
        <v>Not Promoted</v>
      </c>
      <c r="BK9" t="str">
        <f t="shared" si="39"/>
        <v>Review</v>
      </c>
      <c r="BL9" t="str">
        <f t="shared" si="40"/>
        <v>Action needed</v>
      </c>
      <c r="BM9" t="str">
        <f t="shared" si="41"/>
        <v>Payment incompleted</v>
      </c>
    </row>
    <row r="10" spans="1:65" x14ac:dyDescent="0.3">
      <c r="A10" t="s">
        <v>83</v>
      </c>
      <c r="B10" t="s">
        <v>84</v>
      </c>
      <c r="C10" t="s">
        <v>85</v>
      </c>
      <c r="D10" t="s">
        <v>86</v>
      </c>
      <c r="E10" t="s">
        <v>87</v>
      </c>
      <c r="F10" t="s">
        <v>88</v>
      </c>
      <c r="G10">
        <v>92</v>
      </c>
      <c r="H10">
        <v>95</v>
      </c>
      <c r="I10">
        <v>90</v>
      </c>
      <c r="J10">
        <v>95</v>
      </c>
      <c r="K10">
        <v>48000</v>
      </c>
      <c r="L10">
        <v>50000</v>
      </c>
      <c r="M10" t="s">
        <v>89</v>
      </c>
      <c r="N10" t="s">
        <v>22</v>
      </c>
      <c r="O10" t="s">
        <v>90</v>
      </c>
      <c r="P10" t="str">
        <f t="shared" si="0"/>
        <v xml:space="preserve">  ARJUN NAIR  </v>
      </c>
      <c r="Q10" t="str">
        <f t="shared" si="1"/>
        <v>arjun.nair@mail.in</v>
      </c>
      <c r="R10" t="str">
        <f t="shared" si="2"/>
        <v>Data Science</v>
      </c>
      <c r="S10" t="str">
        <f t="shared" si="3"/>
        <v>arjun NAIR</v>
      </c>
      <c r="T10" t="str">
        <f t="shared" si="4"/>
        <v xml:space="preserve">  KOCHI  </v>
      </c>
      <c r="U10" t="str">
        <f t="shared" si="5"/>
        <v>active</v>
      </c>
      <c r="V10" t="str">
        <f t="shared" si="6"/>
        <v>Outstanding</v>
      </c>
      <c r="W10" t="str">
        <f t="shared" si="7"/>
        <v>Kochi</v>
      </c>
      <c r="X10" t="str">
        <f t="shared" si="8"/>
        <v>STU009</v>
      </c>
      <c r="Y10" t="str">
        <f t="shared" si="9"/>
        <v>Outstanding</v>
      </c>
      <c r="Z10" t="str">
        <f t="shared" si="10"/>
        <v xml:space="preserve">Stu009-  arjun NAIR  </v>
      </c>
      <c r="AA10" t="str">
        <f t="shared" si="11"/>
        <v xml:space="preserve">  arjun NAIR  -Data SCIENCE</v>
      </c>
      <c r="AB10" t="str">
        <f t="shared" si="12"/>
        <v>arjun.nair@mail.in|9876543218</v>
      </c>
      <c r="AC10" t="str">
        <f t="shared" si="13"/>
        <v xml:space="preserve">  Kochi  , Data SCIENCE</v>
      </c>
      <c r="AD10" t="str">
        <f t="shared" si="14"/>
        <v>Student ID: Stu009</v>
      </c>
      <c r="AE10" t="str">
        <f t="shared" si="15"/>
        <v>Stu</v>
      </c>
      <c r="AF10" t="str">
        <f t="shared" si="16"/>
        <v>arjun.</v>
      </c>
      <c r="AG10" t="str">
        <f t="shared" si="17"/>
        <v>3218</v>
      </c>
      <c r="AH10" t="str">
        <f t="shared" si="18"/>
        <v>009</v>
      </c>
      <c r="AI10" t="str">
        <f t="shared" si="19"/>
        <v>Data SC</v>
      </c>
      <c r="AJ10" t="str">
        <f t="shared" si="20"/>
        <v xml:space="preserve">  Koc</v>
      </c>
      <c r="AK10" t="str">
        <f t="shared" si="21"/>
        <v>3218</v>
      </c>
      <c r="AL10" t="str">
        <f t="shared" si="22"/>
        <v xml:space="preserve">  arjun NA</v>
      </c>
      <c r="AM10" t="str">
        <f t="shared" si="23"/>
        <v>09</v>
      </c>
      <c r="AN10" t="str">
        <f t="shared" si="24"/>
        <v>arjun.na</v>
      </c>
      <c r="AO10">
        <f t="shared" si="25"/>
        <v>277</v>
      </c>
      <c r="AP10">
        <f t="shared" si="26"/>
        <v>92.333333333333329</v>
      </c>
      <c r="AY10" t="str">
        <f t="shared" si="27"/>
        <v>pass</v>
      </c>
      <c r="AZ10" t="str">
        <f t="shared" si="28"/>
        <v>High</v>
      </c>
      <c r="BA10" t="str">
        <f t="shared" si="29"/>
        <v>Pending</v>
      </c>
      <c r="BB10" t="str">
        <f t="shared" si="30"/>
        <v>Good</v>
      </c>
      <c r="BC10" t="str">
        <f t="shared" si="31"/>
        <v>Active student</v>
      </c>
      <c r="BD10" t="str">
        <f t="shared" si="32"/>
        <v>Excellent</v>
      </c>
      <c r="BE10" t="str">
        <f t="shared" si="33"/>
        <v>Grade A</v>
      </c>
      <c r="BF10" t="str">
        <f t="shared" si="34"/>
        <v>Partial</v>
      </c>
      <c r="BG10" t="str">
        <f t="shared" si="35"/>
        <v>High</v>
      </c>
      <c r="BH10" t="str">
        <f t="shared" si="36"/>
        <v>Eligible</v>
      </c>
      <c r="BI10" t="str">
        <f t="shared" si="37"/>
        <v>No Scholarship</v>
      </c>
      <c r="BJ10" t="str">
        <f t="shared" si="38"/>
        <v>Promoted</v>
      </c>
      <c r="BK10" t="str">
        <f t="shared" si="39"/>
        <v>Good Standing</v>
      </c>
      <c r="BL10" t="str">
        <f t="shared" si="40"/>
        <v>Action needed</v>
      </c>
      <c r="BM10" t="str">
        <f t="shared" si="41"/>
        <v>Payment incompleted</v>
      </c>
    </row>
    <row r="11" spans="1:65" x14ac:dyDescent="0.3">
      <c r="A11" t="s">
        <v>91</v>
      </c>
      <c r="B11" t="s">
        <v>92</v>
      </c>
      <c r="C11" t="s">
        <v>93</v>
      </c>
      <c r="D11" t="s">
        <v>94</v>
      </c>
      <c r="E11" t="s">
        <v>28</v>
      </c>
      <c r="F11" t="s">
        <v>95</v>
      </c>
      <c r="G11">
        <v>68</v>
      </c>
      <c r="H11">
        <v>72</v>
      </c>
      <c r="I11">
        <v>70</v>
      </c>
      <c r="J11">
        <v>68</v>
      </c>
      <c r="K11">
        <v>35000</v>
      </c>
      <c r="L11">
        <v>40000</v>
      </c>
      <c r="M11" t="s">
        <v>96</v>
      </c>
      <c r="N11" t="s">
        <v>40</v>
      </c>
      <c r="O11" t="s">
        <v>97</v>
      </c>
      <c r="P11" t="str">
        <f t="shared" si="0"/>
        <v>POOJA IYER</v>
      </c>
      <c r="Q11" t="str">
        <f t="shared" si="1"/>
        <v>pooja_iyer@email.com</v>
      </c>
      <c r="R11" t="str">
        <f t="shared" si="2"/>
        <v>Web Development</v>
      </c>
      <c r="S11" t="str">
        <f t="shared" si="3"/>
        <v>pooja IYER</v>
      </c>
      <c r="T11" t="str">
        <f t="shared" si="4"/>
        <v>KOLKATA</v>
      </c>
      <c r="U11" t="str">
        <f t="shared" si="5"/>
        <v>active</v>
      </c>
      <c r="V11" t="str">
        <f t="shared" si="6"/>
        <v>Average Performer</v>
      </c>
      <c r="W11" t="str">
        <f t="shared" si="7"/>
        <v>Kolkata</v>
      </c>
      <c r="X11" t="str">
        <f t="shared" si="8"/>
        <v>STU010</v>
      </c>
      <c r="Y11" t="str">
        <f t="shared" si="9"/>
        <v>Average performer</v>
      </c>
      <c r="Z11" t="str">
        <f t="shared" si="10"/>
        <v>STU010-pooja IYER</v>
      </c>
      <c r="AA11" t="str">
        <f t="shared" si="11"/>
        <v>pooja IYER-web DEVELOPMENT</v>
      </c>
      <c r="AB11" t="str">
        <f t="shared" si="12"/>
        <v>pooja_iyer@email.com|9876543219</v>
      </c>
      <c r="AC11" t="str">
        <f t="shared" si="13"/>
        <v>Kolkata, web DEVELOPMENT</v>
      </c>
      <c r="AD11" t="str">
        <f t="shared" si="14"/>
        <v>Student ID: STU010</v>
      </c>
      <c r="AE11" t="str">
        <f t="shared" si="15"/>
        <v>STU</v>
      </c>
      <c r="AF11" t="str">
        <f t="shared" si="16"/>
        <v>pooja_</v>
      </c>
      <c r="AG11" t="str">
        <f t="shared" si="17"/>
        <v>3219</v>
      </c>
      <c r="AH11" t="str">
        <f t="shared" si="18"/>
        <v>010</v>
      </c>
      <c r="AI11" t="str">
        <f t="shared" si="19"/>
        <v>web DEV</v>
      </c>
      <c r="AJ11" t="str">
        <f t="shared" si="20"/>
        <v>Kolka</v>
      </c>
      <c r="AK11" t="str">
        <f t="shared" si="21"/>
        <v>3219</v>
      </c>
      <c r="AL11" t="str">
        <f t="shared" si="22"/>
        <v>pooja IYER</v>
      </c>
      <c r="AM11" t="str">
        <f t="shared" si="23"/>
        <v>10</v>
      </c>
      <c r="AN11" t="str">
        <f t="shared" si="24"/>
        <v>pooja_iy</v>
      </c>
      <c r="AO11">
        <f t="shared" si="25"/>
        <v>210</v>
      </c>
      <c r="AP11">
        <f t="shared" si="26"/>
        <v>70</v>
      </c>
      <c r="AY11" t="str">
        <f t="shared" si="27"/>
        <v>pass</v>
      </c>
      <c r="AZ11" t="str">
        <f t="shared" si="28"/>
        <v>Low</v>
      </c>
      <c r="BA11" t="str">
        <f t="shared" si="29"/>
        <v>Pending</v>
      </c>
      <c r="BB11" t="str">
        <f t="shared" si="30"/>
        <v>Average</v>
      </c>
      <c r="BC11" t="str">
        <f t="shared" si="31"/>
        <v>Active student</v>
      </c>
      <c r="BD11" t="str">
        <f t="shared" si="32"/>
        <v>Good</v>
      </c>
      <c r="BE11" t="str">
        <f t="shared" si="33"/>
        <v>Grade C</v>
      </c>
      <c r="BF11" t="str">
        <f t="shared" si="34"/>
        <v>Partial</v>
      </c>
      <c r="BG11" t="str">
        <f t="shared" si="35"/>
        <v>Low</v>
      </c>
      <c r="BH11" t="str">
        <f t="shared" si="36"/>
        <v>Not Eligible</v>
      </c>
      <c r="BI11" t="str">
        <f t="shared" si="37"/>
        <v>No Scholarship</v>
      </c>
      <c r="BJ11" t="str">
        <f t="shared" si="38"/>
        <v>Promoted</v>
      </c>
      <c r="BK11" t="str">
        <f t="shared" si="39"/>
        <v>Review</v>
      </c>
      <c r="BL11" t="str">
        <f t="shared" si="40"/>
        <v>Action needed</v>
      </c>
      <c r="BM11" t="str">
        <f t="shared" si="41"/>
        <v>Payment incompleted</v>
      </c>
    </row>
    <row r="12" spans="1:65" x14ac:dyDescent="0.3">
      <c r="A12" t="s">
        <v>98</v>
      </c>
      <c r="B12" t="s">
        <v>99</v>
      </c>
      <c r="C12" t="s">
        <v>100</v>
      </c>
      <c r="D12" t="s">
        <v>101</v>
      </c>
      <c r="E12" t="s">
        <v>102</v>
      </c>
      <c r="F12" t="s">
        <v>103</v>
      </c>
      <c r="G12">
        <v>75</v>
      </c>
      <c r="H12">
        <v>78</v>
      </c>
      <c r="I12">
        <v>80</v>
      </c>
      <c r="J12">
        <v>75</v>
      </c>
      <c r="K12">
        <v>30000</v>
      </c>
      <c r="L12">
        <v>35000</v>
      </c>
      <c r="M12" t="s">
        <v>104</v>
      </c>
      <c r="N12" t="s">
        <v>31</v>
      </c>
      <c r="O12" t="s">
        <v>105</v>
      </c>
      <c r="P12" t="str">
        <f t="shared" si="0"/>
        <v xml:space="preserve">SANJAY JOSHI  </v>
      </c>
      <c r="Q12" t="str">
        <f t="shared" si="1"/>
        <v>sanjay.joshi@mail.in</v>
      </c>
      <c r="R12" t="str">
        <f t="shared" si="2"/>
        <v>Digital Marketing</v>
      </c>
      <c r="S12" t="str">
        <f t="shared" si="3"/>
        <v>SANJAY joshi</v>
      </c>
      <c r="T12" t="str">
        <f t="shared" si="4"/>
        <v xml:space="preserve">  SURAT  </v>
      </c>
      <c r="U12" t="str">
        <f t="shared" si="5"/>
        <v>active</v>
      </c>
      <c r="V12" t="str">
        <f t="shared" si="6"/>
        <v xml:space="preserve">  Improving  </v>
      </c>
      <c r="W12" t="str">
        <f t="shared" si="7"/>
        <v>Surat</v>
      </c>
      <c r="X12" t="str">
        <f t="shared" si="8"/>
        <v>STU011</v>
      </c>
      <c r="Y12" t="str">
        <f t="shared" si="9"/>
        <v>Improving</v>
      </c>
      <c r="Z12" t="str">
        <f t="shared" si="10"/>
        <v xml:space="preserve">stu011-SANJAY joshi  </v>
      </c>
      <c r="AA12" t="str">
        <f t="shared" si="11"/>
        <v>SANJAY joshi  -DIGITAL marketing</v>
      </c>
      <c r="AB12" t="str">
        <f t="shared" si="12"/>
        <v>sanjay.joshi@mail.in|9876543220</v>
      </c>
      <c r="AC12" t="str">
        <f t="shared" si="13"/>
        <v xml:space="preserve">  Surat  , DIGITAL marketing</v>
      </c>
      <c r="AD12" t="str">
        <f t="shared" si="14"/>
        <v>Student ID: stu011</v>
      </c>
      <c r="AE12" t="str">
        <f t="shared" si="15"/>
        <v>stu</v>
      </c>
      <c r="AF12" t="str">
        <f t="shared" si="16"/>
        <v>sanjay</v>
      </c>
      <c r="AG12" t="str">
        <f t="shared" si="17"/>
        <v>3220</v>
      </c>
      <c r="AH12" t="str">
        <f t="shared" si="18"/>
        <v>011</v>
      </c>
      <c r="AI12" t="str">
        <f t="shared" si="19"/>
        <v>DIGITAL</v>
      </c>
      <c r="AJ12" t="str">
        <f t="shared" si="20"/>
        <v xml:space="preserve">  Sur</v>
      </c>
      <c r="AK12" t="str">
        <f t="shared" si="21"/>
        <v>3220</v>
      </c>
      <c r="AL12" t="str">
        <f t="shared" si="22"/>
        <v>SANJAY jos</v>
      </c>
      <c r="AM12" t="str">
        <f t="shared" si="23"/>
        <v>11</v>
      </c>
      <c r="AN12" t="str">
        <f t="shared" si="24"/>
        <v>sanjay.j</v>
      </c>
      <c r="AO12">
        <f t="shared" si="25"/>
        <v>233</v>
      </c>
      <c r="AP12">
        <f t="shared" si="26"/>
        <v>77.666666666666671</v>
      </c>
      <c r="AY12" t="str">
        <f t="shared" si="27"/>
        <v>pass</v>
      </c>
      <c r="AZ12" t="str">
        <f t="shared" si="28"/>
        <v>Low</v>
      </c>
      <c r="BA12" t="str">
        <f t="shared" si="29"/>
        <v>Pending</v>
      </c>
      <c r="BB12" t="str">
        <f t="shared" si="30"/>
        <v>Good</v>
      </c>
      <c r="BC12" t="str">
        <f t="shared" si="31"/>
        <v>Active student</v>
      </c>
      <c r="BD12" t="str">
        <f t="shared" si="32"/>
        <v>Good</v>
      </c>
      <c r="BE12" t="str">
        <f t="shared" si="33"/>
        <v>Grade B</v>
      </c>
      <c r="BF12" t="str">
        <f t="shared" si="34"/>
        <v>Partial</v>
      </c>
      <c r="BG12" t="str">
        <f t="shared" si="35"/>
        <v>Medium</v>
      </c>
      <c r="BH12" t="str">
        <f t="shared" si="36"/>
        <v>Eligible</v>
      </c>
      <c r="BI12" t="str">
        <f t="shared" si="37"/>
        <v>No Scholarship</v>
      </c>
      <c r="BJ12" t="str">
        <f t="shared" si="38"/>
        <v>Promoted</v>
      </c>
      <c r="BK12" t="str">
        <f t="shared" si="39"/>
        <v>Good Standing</v>
      </c>
      <c r="BL12" t="str">
        <f t="shared" si="40"/>
        <v>Action needed</v>
      </c>
      <c r="BM12" t="str">
        <f t="shared" si="41"/>
        <v>Payment incompleted</v>
      </c>
    </row>
    <row r="13" spans="1:65" x14ac:dyDescent="0.3">
      <c r="A13" t="s">
        <v>106</v>
      </c>
      <c r="B13" t="s">
        <v>107</v>
      </c>
      <c r="C13" t="s">
        <v>108</v>
      </c>
      <c r="D13" t="s">
        <v>109</v>
      </c>
      <c r="E13" t="s">
        <v>46</v>
      </c>
      <c r="F13" t="s">
        <v>110</v>
      </c>
      <c r="G13">
        <v>70</v>
      </c>
      <c r="H13">
        <v>68</v>
      </c>
      <c r="I13">
        <v>72</v>
      </c>
      <c r="J13">
        <v>70</v>
      </c>
      <c r="K13">
        <v>28000</v>
      </c>
      <c r="L13">
        <v>35000</v>
      </c>
      <c r="M13" t="s">
        <v>111</v>
      </c>
      <c r="N13" t="s">
        <v>22</v>
      </c>
      <c r="O13" t="s">
        <v>112</v>
      </c>
      <c r="P13" t="str">
        <f t="shared" si="0"/>
        <v xml:space="preserve">  KAVITA DESAI</v>
      </c>
      <c r="Q13" t="str">
        <f t="shared" si="1"/>
        <v>kavita.desai@email.com</v>
      </c>
      <c r="R13" t="str">
        <f t="shared" si="2"/>
        <v>Graphic Design</v>
      </c>
      <c r="S13" t="str">
        <f t="shared" si="3"/>
        <v>kavita DESAI</v>
      </c>
      <c r="T13" t="str">
        <f t="shared" si="4"/>
        <v>NAGPUR</v>
      </c>
      <c r="U13" t="str">
        <f t="shared" si="5"/>
        <v>active</v>
      </c>
      <c r="V13" t="str">
        <f t="shared" si="6"/>
        <v>Consistent</v>
      </c>
      <c r="W13" t="str">
        <f t="shared" si="7"/>
        <v>Nagpur</v>
      </c>
      <c r="X13" t="str">
        <f t="shared" si="8"/>
        <v>STU012</v>
      </c>
      <c r="Y13" t="str">
        <f t="shared" si="9"/>
        <v>Consistent</v>
      </c>
      <c r="Z13" t="str">
        <f t="shared" si="10"/>
        <v>Stu012-  kavita DESAI</v>
      </c>
      <c r="AA13" t="str">
        <f t="shared" si="11"/>
        <v xml:space="preserve">  kavita DESAI-graphic DESIGN</v>
      </c>
      <c r="AB13" t="str">
        <f t="shared" si="12"/>
        <v>kavita.desai@email.com|9876543221</v>
      </c>
      <c r="AC13" t="str">
        <f t="shared" si="13"/>
        <v>Nagpur, graphic DESIGN</v>
      </c>
      <c r="AD13" t="str">
        <f t="shared" si="14"/>
        <v>Student ID: Stu012</v>
      </c>
      <c r="AE13" t="str">
        <f t="shared" si="15"/>
        <v>Stu</v>
      </c>
      <c r="AF13" t="str">
        <f t="shared" si="16"/>
        <v>kavita</v>
      </c>
      <c r="AG13" t="str">
        <f t="shared" si="17"/>
        <v>3221</v>
      </c>
      <c r="AH13" t="str">
        <f t="shared" si="18"/>
        <v>012</v>
      </c>
      <c r="AI13" t="str">
        <f t="shared" si="19"/>
        <v>graphic</v>
      </c>
      <c r="AJ13" t="str">
        <f t="shared" si="20"/>
        <v>Nagpu</v>
      </c>
      <c r="AK13" t="str">
        <f t="shared" si="21"/>
        <v>3221</v>
      </c>
      <c r="AL13" t="str">
        <f t="shared" si="22"/>
        <v xml:space="preserve">  kavita D</v>
      </c>
      <c r="AM13" t="str">
        <f t="shared" si="23"/>
        <v>12</v>
      </c>
      <c r="AN13" t="str">
        <f t="shared" si="24"/>
        <v>kavita.d</v>
      </c>
      <c r="AO13">
        <f t="shared" si="25"/>
        <v>210</v>
      </c>
      <c r="AP13">
        <f t="shared" si="26"/>
        <v>70</v>
      </c>
      <c r="AY13" t="str">
        <f t="shared" si="27"/>
        <v>pass</v>
      </c>
      <c r="AZ13" t="str">
        <f t="shared" si="28"/>
        <v>Low</v>
      </c>
      <c r="BA13" t="str">
        <f t="shared" si="29"/>
        <v>Pending</v>
      </c>
      <c r="BB13" t="str">
        <f t="shared" si="30"/>
        <v>Average</v>
      </c>
      <c r="BC13" t="str">
        <f t="shared" si="31"/>
        <v>Active student</v>
      </c>
      <c r="BD13" t="str">
        <f t="shared" si="32"/>
        <v>Good</v>
      </c>
      <c r="BE13" t="str">
        <f t="shared" si="33"/>
        <v>Grade C</v>
      </c>
      <c r="BF13" t="str">
        <f t="shared" si="34"/>
        <v>Partial</v>
      </c>
      <c r="BG13" t="str">
        <f t="shared" si="35"/>
        <v>Medium</v>
      </c>
      <c r="BH13" t="str">
        <f t="shared" si="36"/>
        <v>Not Eligible</v>
      </c>
      <c r="BI13" t="str">
        <f t="shared" si="37"/>
        <v>No Scholarship</v>
      </c>
      <c r="BJ13" t="str">
        <f t="shared" si="38"/>
        <v>Promoted</v>
      </c>
      <c r="BK13" t="str">
        <f t="shared" si="39"/>
        <v>Good Standing</v>
      </c>
      <c r="BL13" t="str">
        <f t="shared" si="40"/>
        <v>Action needed</v>
      </c>
      <c r="BM13" t="str">
        <f t="shared" si="41"/>
        <v>Payment incompleted</v>
      </c>
    </row>
    <row r="14" spans="1:65" x14ac:dyDescent="0.3">
      <c r="A14" t="s">
        <v>113</v>
      </c>
      <c r="B14" t="s">
        <v>114</v>
      </c>
      <c r="C14" t="s">
        <v>115</v>
      </c>
      <c r="D14" t="s">
        <v>116</v>
      </c>
      <c r="E14" t="s">
        <v>117</v>
      </c>
      <c r="F14" t="s">
        <v>118</v>
      </c>
      <c r="G14">
        <v>86</v>
      </c>
      <c r="H14">
        <v>84</v>
      </c>
      <c r="I14">
        <v>88</v>
      </c>
      <c r="J14">
        <v>88</v>
      </c>
      <c r="K14">
        <v>47000</v>
      </c>
      <c r="L14">
        <v>50000</v>
      </c>
      <c r="M14" t="s">
        <v>119</v>
      </c>
      <c r="N14" t="s">
        <v>40</v>
      </c>
      <c r="O14" t="s">
        <v>120</v>
      </c>
      <c r="P14" t="str">
        <f t="shared" si="0"/>
        <v xml:space="preserve">ROHIT SHARMA  </v>
      </c>
      <c r="Q14" t="str">
        <f t="shared" si="1"/>
        <v>rohit.sharma@mail.in</v>
      </c>
      <c r="R14" t="str">
        <f t="shared" si="2"/>
        <v>Data Science</v>
      </c>
      <c r="S14" t="str">
        <f t="shared" si="3"/>
        <v>rohit SHARMA</v>
      </c>
      <c r="T14" t="str">
        <f t="shared" si="4"/>
        <v xml:space="preserve">  LUCKNOW  </v>
      </c>
      <c r="U14" t="str">
        <f t="shared" si="5"/>
        <v>active</v>
      </c>
      <c r="V14" t="str">
        <f t="shared" si="6"/>
        <v>Very Good</v>
      </c>
      <c r="W14" t="str">
        <f t="shared" si="7"/>
        <v>Lucknow</v>
      </c>
      <c r="X14" t="str">
        <f t="shared" si="8"/>
        <v>STU013</v>
      </c>
      <c r="Y14" t="str">
        <f t="shared" si="9"/>
        <v>Very good</v>
      </c>
      <c r="Z14" t="str">
        <f t="shared" si="10"/>
        <v xml:space="preserve">STU013-rohit SHARMA  </v>
      </c>
      <c r="AA14" t="str">
        <f t="shared" si="11"/>
        <v>rohit SHARMA  -data science</v>
      </c>
      <c r="AB14" t="str">
        <f t="shared" si="12"/>
        <v>rohit.sharma@mail.in|9876543222</v>
      </c>
      <c r="AC14" t="str">
        <f t="shared" si="13"/>
        <v xml:space="preserve">  Lucknow  , data science</v>
      </c>
      <c r="AD14" t="str">
        <f t="shared" si="14"/>
        <v>Student ID: STU013</v>
      </c>
      <c r="AE14" t="str">
        <f t="shared" si="15"/>
        <v>STU</v>
      </c>
      <c r="AF14" t="str">
        <f t="shared" si="16"/>
        <v>rohit.</v>
      </c>
      <c r="AG14" t="str">
        <f t="shared" si="17"/>
        <v>3222</v>
      </c>
      <c r="AH14" t="str">
        <f t="shared" si="18"/>
        <v>013</v>
      </c>
      <c r="AI14" t="str">
        <f t="shared" si="19"/>
        <v>data sc</v>
      </c>
      <c r="AJ14" t="str">
        <f t="shared" si="20"/>
        <v xml:space="preserve">  Luc</v>
      </c>
      <c r="AK14" t="str">
        <f t="shared" si="21"/>
        <v>3222</v>
      </c>
      <c r="AL14" t="str">
        <f t="shared" si="22"/>
        <v>rohit SHAR</v>
      </c>
      <c r="AM14" t="str">
        <f t="shared" si="23"/>
        <v>13</v>
      </c>
      <c r="AN14" t="str">
        <f t="shared" si="24"/>
        <v>rohit.sh</v>
      </c>
      <c r="AO14">
        <f t="shared" si="25"/>
        <v>258</v>
      </c>
      <c r="AP14">
        <f t="shared" si="26"/>
        <v>86</v>
      </c>
      <c r="AY14" t="str">
        <f t="shared" si="27"/>
        <v>pass</v>
      </c>
      <c r="AZ14" t="str">
        <f t="shared" si="28"/>
        <v>High</v>
      </c>
      <c r="BA14" t="str">
        <f t="shared" si="29"/>
        <v>Pending</v>
      </c>
      <c r="BB14" t="str">
        <f t="shared" si="30"/>
        <v>Good</v>
      </c>
      <c r="BC14" t="str">
        <f t="shared" si="31"/>
        <v>Active student</v>
      </c>
      <c r="BD14" t="str">
        <f t="shared" si="32"/>
        <v>Excellent</v>
      </c>
      <c r="BE14" t="str">
        <f t="shared" si="33"/>
        <v>Grade B</v>
      </c>
      <c r="BF14" t="str">
        <f t="shared" si="34"/>
        <v>Partial</v>
      </c>
      <c r="BG14" t="str">
        <f t="shared" si="35"/>
        <v>High</v>
      </c>
      <c r="BH14" t="str">
        <f t="shared" si="36"/>
        <v>Eligible</v>
      </c>
      <c r="BI14" t="str">
        <f t="shared" si="37"/>
        <v>No Scholarship</v>
      </c>
      <c r="BJ14" t="str">
        <f t="shared" si="38"/>
        <v>Promoted</v>
      </c>
      <c r="BK14" t="str">
        <f t="shared" si="39"/>
        <v>Good Standing</v>
      </c>
      <c r="BL14" t="str">
        <f t="shared" si="40"/>
        <v>Action needed</v>
      </c>
      <c r="BM14" t="str">
        <f t="shared" si="41"/>
        <v>Payment incompleted</v>
      </c>
    </row>
    <row r="15" spans="1:65" x14ac:dyDescent="0.3">
      <c r="A15" t="s">
        <v>121</v>
      </c>
      <c r="B15" t="s">
        <v>122</v>
      </c>
      <c r="C15" t="s">
        <v>123</v>
      </c>
      <c r="D15" t="s">
        <v>124</v>
      </c>
      <c r="E15" t="s">
        <v>62</v>
      </c>
      <c r="F15" t="s">
        <v>125</v>
      </c>
      <c r="G15">
        <v>65</v>
      </c>
      <c r="H15">
        <v>68</v>
      </c>
      <c r="I15">
        <v>70</v>
      </c>
      <c r="J15">
        <v>62</v>
      </c>
      <c r="K15">
        <v>32000</v>
      </c>
      <c r="L15">
        <v>40000</v>
      </c>
      <c r="M15" t="s">
        <v>126</v>
      </c>
      <c r="N15" t="s">
        <v>31</v>
      </c>
      <c r="O15" t="s">
        <v>127</v>
      </c>
      <c r="P15" t="str">
        <f t="shared" si="0"/>
        <v>SWATI PILLAI</v>
      </c>
      <c r="Q15" t="str">
        <f t="shared" si="1"/>
        <v>swati_pillai@email.com</v>
      </c>
      <c r="R15" t="str">
        <f t="shared" si="2"/>
        <v>Web Development</v>
      </c>
      <c r="S15" t="str">
        <f t="shared" si="3"/>
        <v>SWATI pillai</v>
      </c>
      <c r="T15" t="str">
        <f t="shared" si="4"/>
        <v>INDORE</v>
      </c>
      <c r="U15" t="str">
        <f t="shared" si="5"/>
        <v>active</v>
      </c>
      <c r="V15" t="str">
        <f t="shared" si="6"/>
        <v>Needs Attention</v>
      </c>
      <c r="W15" t="str">
        <f t="shared" si="7"/>
        <v>Indore</v>
      </c>
      <c r="X15" t="str">
        <f t="shared" si="8"/>
        <v>STU014</v>
      </c>
      <c r="Y15" t="str">
        <f t="shared" si="9"/>
        <v>Needs attention</v>
      </c>
      <c r="Z15" t="str">
        <f t="shared" si="10"/>
        <v>stu014-SWATI pillai</v>
      </c>
      <c r="AA15" t="str">
        <f t="shared" si="11"/>
        <v>SWATI pillai-WEB development</v>
      </c>
      <c r="AB15" t="str">
        <f t="shared" si="12"/>
        <v>swati_pillai@email.com|9876543223</v>
      </c>
      <c r="AC15" t="str">
        <f t="shared" si="13"/>
        <v>Indore, WEB development</v>
      </c>
      <c r="AD15" t="str">
        <f t="shared" si="14"/>
        <v>Student ID: stu014</v>
      </c>
      <c r="AE15" t="str">
        <f t="shared" si="15"/>
        <v>stu</v>
      </c>
      <c r="AF15" t="str">
        <f t="shared" si="16"/>
        <v>swati_</v>
      </c>
      <c r="AG15" t="str">
        <f t="shared" si="17"/>
        <v>3223</v>
      </c>
      <c r="AH15" t="str">
        <f t="shared" si="18"/>
        <v>014</v>
      </c>
      <c r="AI15" t="str">
        <f t="shared" si="19"/>
        <v>WEB dev</v>
      </c>
      <c r="AJ15" t="str">
        <f t="shared" si="20"/>
        <v>Indor</v>
      </c>
      <c r="AK15" t="str">
        <f t="shared" si="21"/>
        <v>3223</v>
      </c>
      <c r="AL15" t="str">
        <f t="shared" si="22"/>
        <v>SWATI pill</v>
      </c>
      <c r="AM15" t="str">
        <f t="shared" si="23"/>
        <v>14</v>
      </c>
      <c r="AN15" t="str">
        <f t="shared" si="24"/>
        <v>swati_pi</v>
      </c>
      <c r="AO15">
        <f t="shared" si="25"/>
        <v>203</v>
      </c>
      <c r="AP15">
        <f t="shared" si="26"/>
        <v>67.666666666666671</v>
      </c>
      <c r="AY15" t="str">
        <f t="shared" si="27"/>
        <v>pass</v>
      </c>
      <c r="AZ15" t="str">
        <f t="shared" si="28"/>
        <v>Low</v>
      </c>
      <c r="BA15" t="str">
        <f t="shared" si="29"/>
        <v>Pending</v>
      </c>
      <c r="BB15" t="str">
        <f t="shared" si="30"/>
        <v>Average</v>
      </c>
      <c r="BC15" t="str">
        <f t="shared" si="31"/>
        <v>Active student</v>
      </c>
      <c r="BD15" t="str">
        <f t="shared" si="32"/>
        <v>Average</v>
      </c>
      <c r="BE15" t="str">
        <f t="shared" si="33"/>
        <v>Grade C</v>
      </c>
      <c r="BF15" t="str">
        <f t="shared" si="34"/>
        <v>Partial</v>
      </c>
      <c r="BG15" t="str">
        <f t="shared" si="35"/>
        <v>Low</v>
      </c>
      <c r="BH15" t="str">
        <f t="shared" si="36"/>
        <v>Not Eligible</v>
      </c>
      <c r="BI15" t="str">
        <f t="shared" si="37"/>
        <v>No Scholarship</v>
      </c>
      <c r="BJ15" t="str">
        <f t="shared" si="38"/>
        <v>Promoted</v>
      </c>
      <c r="BK15" t="str">
        <f t="shared" si="39"/>
        <v>Review</v>
      </c>
      <c r="BL15" t="str">
        <f t="shared" si="40"/>
        <v>Action needed</v>
      </c>
      <c r="BM15" t="str">
        <f t="shared" si="41"/>
        <v>Payment incompleted</v>
      </c>
    </row>
    <row r="16" spans="1:65" x14ac:dyDescent="0.3">
      <c r="A16" t="s">
        <v>128</v>
      </c>
      <c r="B16" t="s">
        <v>129</v>
      </c>
      <c r="C16" t="s">
        <v>130</v>
      </c>
      <c r="D16" t="s">
        <v>131</v>
      </c>
      <c r="E16" t="s">
        <v>37</v>
      </c>
      <c r="F16" t="s">
        <v>132</v>
      </c>
      <c r="G16">
        <v>80</v>
      </c>
      <c r="H16">
        <v>82</v>
      </c>
      <c r="I16">
        <v>78</v>
      </c>
      <c r="J16">
        <v>82</v>
      </c>
      <c r="K16">
        <v>33000</v>
      </c>
      <c r="L16">
        <v>35000</v>
      </c>
      <c r="M16" t="s">
        <v>133</v>
      </c>
      <c r="N16" t="s">
        <v>49</v>
      </c>
      <c r="O16" t="s">
        <v>134</v>
      </c>
      <c r="P16" t="str">
        <f t="shared" si="0"/>
        <v xml:space="preserve">  ADITYA RAO</v>
      </c>
      <c r="Q16" t="str">
        <f t="shared" si="1"/>
        <v>aditya.rao@mail.in</v>
      </c>
      <c r="R16" t="str">
        <f t="shared" si="2"/>
        <v>Digital Marketing</v>
      </c>
      <c r="S16" t="str">
        <f t="shared" si="3"/>
        <v>aditya RAO</v>
      </c>
      <c r="T16" t="str">
        <f t="shared" si="4"/>
        <v xml:space="preserve">  BHOPAL  </v>
      </c>
      <c r="U16" t="str">
        <f t="shared" si="5"/>
        <v>inactive</v>
      </c>
      <c r="V16" t="str">
        <f t="shared" si="6"/>
        <v xml:space="preserve">  Fee Pending  </v>
      </c>
      <c r="W16" t="str">
        <f t="shared" si="7"/>
        <v>Bhopal</v>
      </c>
      <c r="X16" t="str">
        <f t="shared" si="8"/>
        <v>STU015</v>
      </c>
      <c r="Y16" t="str">
        <f t="shared" si="9"/>
        <v>Fee pending</v>
      </c>
      <c r="Z16" t="str">
        <f t="shared" si="10"/>
        <v>Stu015-  aditya RAO</v>
      </c>
      <c r="AA16" t="str">
        <f t="shared" si="11"/>
        <v xml:space="preserve">  aditya RAO-Digital MARKETING</v>
      </c>
      <c r="AB16" t="str">
        <f t="shared" si="12"/>
        <v>aditya.rao@mail.in|9876543224</v>
      </c>
      <c r="AC16" t="str">
        <f t="shared" si="13"/>
        <v xml:space="preserve">  Bhopal  , Digital MARKETING</v>
      </c>
      <c r="AD16" t="str">
        <f t="shared" si="14"/>
        <v>Student ID: Stu015</v>
      </c>
      <c r="AE16" t="str">
        <f t="shared" si="15"/>
        <v>Stu</v>
      </c>
      <c r="AF16" t="str">
        <f t="shared" si="16"/>
        <v>aditya</v>
      </c>
      <c r="AG16" t="str">
        <f t="shared" si="17"/>
        <v>3224</v>
      </c>
      <c r="AH16" t="str">
        <f t="shared" si="18"/>
        <v>015</v>
      </c>
      <c r="AI16" t="str">
        <f t="shared" si="19"/>
        <v>Digital</v>
      </c>
      <c r="AJ16" t="str">
        <f t="shared" si="20"/>
        <v xml:space="preserve">  Bho</v>
      </c>
      <c r="AK16" t="str">
        <f t="shared" si="21"/>
        <v>3224</v>
      </c>
      <c r="AL16" t="str">
        <f t="shared" si="22"/>
        <v xml:space="preserve">  aditya R</v>
      </c>
      <c r="AM16" t="str">
        <f t="shared" si="23"/>
        <v>15</v>
      </c>
      <c r="AN16" t="str">
        <f t="shared" si="24"/>
        <v>aditya.r</v>
      </c>
      <c r="AO16">
        <f t="shared" si="25"/>
        <v>240</v>
      </c>
      <c r="AP16">
        <f t="shared" si="26"/>
        <v>80</v>
      </c>
      <c r="AY16" t="str">
        <f t="shared" si="27"/>
        <v>pass</v>
      </c>
      <c r="AZ16" t="str">
        <f t="shared" si="28"/>
        <v>High</v>
      </c>
      <c r="BA16" t="str">
        <f t="shared" si="29"/>
        <v>Pending</v>
      </c>
      <c r="BB16" t="str">
        <f t="shared" si="30"/>
        <v>Good</v>
      </c>
      <c r="BC16" t="str">
        <f t="shared" si="31"/>
        <v>Inactive student</v>
      </c>
      <c r="BD16" t="str">
        <f t="shared" si="32"/>
        <v>Good</v>
      </c>
      <c r="BE16" t="str">
        <f t="shared" si="33"/>
        <v>Grade B</v>
      </c>
      <c r="BF16" t="str">
        <f t="shared" si="34"/>
        <v>Partial</v>
      </c>
      <c r="BG16" t="str">
        <f t="shared" si="35"/>
        <v>Medium</v>
      </c>
      <c r="BH16" t="str">
        <f t="shared" si="36"/>
        <v>Eligible</v>
      </c>
      <c r="BI16" t="str">
        <f t="shared" si="37"/>
        <v>No Scholarship</v>
      </c>
      <c r="BJ16" t="str">
        <f t="shared" si="38"/>
        <v>Promoted</v>
      </c>
      <c r="BK16" t="str">
        <f t="shared" si="39"/>
        <v>Good Standing</v>
      </c>
      <c r="BL16" t="str">
        <f t="shared" si="40"/>
        <v>Action needed</v>
      </c>
      <c r="BM16" t="str">
        <f t="shared" si="41"/>
        <v>Payment incompleted</v>
      </c>
    </row>
    <row r="17" spans="1:65" x14ac:dyDescent="0.3">
      <c r="A17" t="s">
        <v>135</v>
      </c>
      <c r="B17" t="s">
        <v>136</v>
      </c>
      <c r="C17" t="s">
        <v>137</v>
      </c>
      <c r="D17" t="s">
        <v>138</v>
      </c>
      <c r="E17" t="s">
        <v>78</v>
      </c>
      <c r="F17" t="s">
        <v>139</v>
      </c>
      <c r="G17">
        <v>72</v>
      </c>
      <c r="H17">
        <v>75</v>
      </c>
      <c r="I17">
        <v>70</v>
      </c>
      <c r="J17">
        <v>72</v>
      </c>
      <c r="K17">
        <v>30000</v>
      </c>
      <c r="L17">
        <v>35000</v>
      </c>
      <c r="M17" t="s">
        <v>140</v>
      </c>
      <c r="N17" t="s">
        <v>22</v>
      </c>
      <c r="O17" t="s">
        <v>141</v>
      </c>
      <c r="P17" t="str">
        <f t="shared" si="0"/>
        <v xml:space="preserve">MEGHA KULKARNI  </v>
      </c>
      <c r="Q17" t="str">
        <f t="shared" si="1"/>
        <v>megha.kulkarni@email.com</v>
      </c>
      <c r="R17" t="str">
        <f t="shared" si="2"/>
        <v>Graphic Design</v>
      </c>
      <c r="S17" t="str">
        <f t="shared" si="3"/>
        <v>megha KULKARNI</v>
      </c>
      <c r="T17" t="str">
        <f t="shared" si="4"/>
        <v>CHANDIGARH</v>
      </c>
      <c r="U17" t="str">
        <f t="shared" si="5"/>
        <v>active</v>
      </c>
      <c r="V17" t="str">
        <f t="shared" si="6"/>
        <v>Good Attitude</v>
      </c>
      <c r="W17" t="str">
        <f t="shared" si="7"/>
        <v>Chandigarh</v>
      </c>
      <c r="X17" t="str">
        <f t="shared" si="8"/>
        <v>STU016</v>
      </c>
      <c r="Y17" t="str">
        <f t="shared" si="9"/>
        <v>Good attitude</v>
      </c>
      <c r="Z17" t="str">
        <f t="shared" si="10"/>
        <v xml:space="preserve">STU016-megha KULKARNI  </v>
      </c>
      <c r="AA17" t="str">
        <f t="shared" si="11"/>
        <v>megha KULKARNI  -GRAPHIC design</v>
      </c>
      <c r="AB17" t="str">
        <f t="shared" si="12"/>
        <v>megha.kulkarni@email.com|9876543225</v>
      </c>
      <c r="AC17" t="str">
        <f t="shared" si="13"/>
        <v>Chandigarh, GRAPHIC design</v>
      </c>
      <c r="AD17" t="str">
        <f t="shared" si="14"/>
        <v>Student ID: STU016</v>
      </c>
      <c r="AE17" t="str">
        <f t="shared" si="15"/>
        <v>STU</v>
      </c>
      <c r="AF17" t="str">
        <f t="shared" si="16"/>
        <v>megha.</v>
      </c>
      <c r="AG17" t="str">
        <f t="shared" si="17"/>
        <v>3225</v>
      </c>
      <c r="AH17" t="str">
        <f t="shared" si="18"/>
        <v>016</v>
      </c>
      <c r="AI17" t="str">
        <f t="shared" si="19"/>
        <v>GRAPHIC</v>
      </c>
      <c r="AJ17" t="str">
        <f t="shared" si="20"/>
        <v>Chand</v>
      </c>
      <c r="AK17" t="str">
        <f t="shared" si="21"/>
        <v>3225</v>
      </c>
      <c r="AL17" t="str">
        <f t="shared" si="22"/>
        <v>megha KULK</v>
      </c>
      <c r="AM17" t="str">
        <f t="shared" si="23"/>
        <v>16</v>
      </c>
      <c r="AN17" t="str">
        <f t="shared" si="24"/>
        <v>megha.ku</v>
      </c>
      <c r="AO17">
        <f t="shared" si="25"/>
        <v>217</v>
      </c>
      <c r="AP17">
        <f t="shared" si="26"/>
        <v>72.333333333333329</v>
      </c>
      <c r="AY17" t="str">
        <f t="shared" si="27"/>
        <v>pass</v>
      </c>
      <c r="AZ17" t="str">
        <f t="shared" si="28"/>
        <v>Low</v>
      </c>
      <c r="BA17" t="str">
        <f t="shared" si="29"/>
        <v>Pending</v>
      </c>
      <c r="BB17" t="str">
        <f t="shared" si="30"/>
        <v>Average</v>
      </c>
      <c r="BC17" t="str">
        <f t="shared" si="31"/>
        <v>Active student</v>
      </c>
      <c r="BD17" t="str">
        <f t="shared" si="32"/>
        <v>Good</v>
      </c>
      <c r="BE17" t="str">
        <f t="shared" si="33"/>
        <v>Grade C</v>
      </c>
      <c r="BF17" t="str">
        <f t="shared" si="34"/>
        <v>Partial</v>
      </c>
      <c r="BG17" t="str">
        <f t="shared" si="35"/>
        <v>Medium</v>
      </c>
      <c r="BH17" t="str">
        <f t="shared" si="36"/>
        <v>Not Eligible</v>
      </c>
      <c r="BI17" t="str">
        <f t="shared" si="37"/>
        <v>No Scholarship</v>
      </c>
      <c r="BJ17" t="str">
        <f t="shared" si="38"/>
        <v>Promoted</v>
      </c>
      <c r="BK17" t="str">
        <f t="shared" si="39"/>
        <v>Good Standing</v>
      </c>
      <c r="BL17" t="str">
        <f t="shared" si="40"/>
        <v>Action needed</v>
      </c>
      <c r="BM17" t="str">
        <f t="shared" si="41"/>
        <v>Payment incompleted</v>
      </c>
    </row>
    <row r="18" spans="1:65" x14ac:dyDescent="0.3">
      <c r="A18" t="s">
        <v>142</v>
      </c>
      <c r="B18" t="s">
        <v>143</v>
      </c>
      <c r="C18" t="s">
        <v>144</v>
      </c>
      <c r="D18" t="s">
        <v>145</v>
      </c>
      <c r="E18" t="s">
        <v>146</v>
      </c>
      <c r="F18" t="s">
        <v>147</v>
      </c>
      <c r="G18">
        <v>90</v>
      </c>
      <c r="H18">
        <v>88</v>
      </c>
      <c r="I18">
        <v>92</v>
      </c>
      <c r="J18">
        <v>90</v>
      </c>
      <c r="K18">
        <v>49000</v>
      </c>
      <c r="L18">
        <v>50000</v>
      </c>
      <c r="M18" t="s">
        <v>148</v>
      </c>
      <c r="N18" t="s">
        <v>40</v>
      </c>
      <c r="O18" t="s">
        <v>149</v>
      </c>
      <c r="P18" t="str">
        <f t="shared" si="0"/>
        <v>VISHAL CHAUHAN</v>
      </c>
      <c r="Q18" t="str">
        <f t="shared" si="1"/>
        <v>vishal.chauhan@mail.in</v>
      </c>
      <c r="R18" t="str">
        <f t="shared" si="2"/>
        <v>Data Science</v>
      </c>
      <c r="S18" t="str">
        <f t="shared" si="3"/>
        <v>VISHAL chauhan</v>
      </c>
      <c r="T18" t="str">
        <f t="shared" si="4"/>
        <v xml:space="preserve">  PATNA  </v>
      </c>
      <c r="U18" t="str">
        <f t="shared" si="5"/>
        <v>active</v>
      </c>
      <c r="V18" t="str">
        <f t="shared" si="6"/>
        <v>Top Performer</v>
      </c>
      <c r="W18" t="str">
        <f t="shared" si="7"/>
        <v>Patna</v>
      </c>
      <c r="X18" t="str">
        <f t="shared" si="8"/>
        <v>STU017</v>
      </c>
      <c r="Y18" t="str">
        <f t="shared" si="9"/>
        <v>Top performer</v>
      </c>
      <c r="Z18" t="str">
        <f t="shared" si="10"/>
        <v>stu017-VISHAL chauhan</v>
      </c>
      <c r="AA18" t="str">
        <f t="shared" si="11"/>
        <v>VISHAL chauhan-data SCIENCE</v>
      </c>
      <c r="AB18" t="str">
        <f t="shared" si="12"/>
        <v>vishal.chauhan@mail.in|9876543226</v>
      </c>
      <c r="AC18" t="str">
        <f t="shared" si="13"/>
        <v xml:space="preserve">  Patna  , data SCIENCE</v>
      </c>
      <c r="AD18" t="str">
        <f t="shared" si="14"/>
        <v>Student ID: stu017</v>
      </c>
      <c r="AE18" t="str">
        <f t="shared" si="15"/>
        <v>stu</v>
      </c>
      <c r="AF18" t="str">
        <f t="shared" si="16"/>
        <v>vishal</v>
      </c>
      <c r="AG18" t="str">
        <f t="shared" si="17"/>
        <v>3226</v>
      </c>
      <c r="AH18" t="str">
        <f t="shared" si="18"/>
        <v>017</v>
      </c>
      <c r="AI18" t="str">
        <f t="shared" si="19"/>
        <v>data SC</v>
      </c>
      <c r="AJ18" t="str">
        <f t="shared" si="20"/>
        <v xml:space="preserve">  Pat</v>
      </c>
      <c r="AK18" t="str">
        <f t="shared" si="21"/>
        <v>3226</v>
      </c>
      <c r="AL18" t="str">
        <f t="shared" si="22"/>
        <v>VISHAL cha</v>
      </c>
      <c r="AM18" t="str">
        <f t="shared" si="23"/>
        <v>17</v>
      </c>
      <c r="AN18" t="str">
        <f t="shared" si="24"/>
        <v>vishal.c</v>
      </c>
      <c r="AO18">
        <f t="shared" si="25"/>
        <v>270</v>
      </c>
      <c r="AP18">
        <f t="shared" si="26"/>
        <v>90</v>
      </c>
      <c r="AY18" t="str">
        <f t="shared" si="27"/>
        <v>pass</v>
      </c>
      <c r="AZ18" t="str">
        <f t="shared" si="28"/>
        <v>High</v>
      </c>
      <c r="BA18" t="str">
        <f t="shared" si="29"/>
        <v>Pending</v>
      </c>
      <c r="BB18" t="str">
        <f t="shared" si="30"/>
        <v>Good</v>
      </c>
      <c r="BC18" t="str">
        <f t="shared" si="31"/>
        <v>Active student</v>
      </c>
      <c r="BD18" t="str">
        <f t="shared" si="32"/>
        <v>Excellent</v>
      </c>
      <c r="BE18" t="str">
        <f t="shared" si="33"/>
        <v>Grade B</v>
      </c>
      <c r="BF18" t="str">
        <f t="shared" si="34"/>
        <v>Partial</v>
      </c>
      <c r="BG18" t="str">
        <f t="shared" si="35"/>
        <v>High</v>
      </c>
      <c r="BH18" t="str">
        <f t="shared" si="36"/>
        <v>Eligible</v>
      </c>
      <c r="BI18" t="str">
        <f t="shared" si="37"/>
        <v>No Scholarship</v>
      </c>
      <c r="BJ18" t="str">
        <f t="shared" si="38"/>
        <v>Promoted</v>
      </c>
      <c r="BK18" t="str">
        <f t="shared" si="39"/>
        <v>Good Standing</v>
      </c>
      <c r="BL18" t="str">
        <f t="shared" si="40"/>
        <v>Action needed</v>
      </c>
      <c r="BM18" t="str">
        <f t="shared" si="41"/>
        <v>Payment incompleted</v>
      </c>
    </row>
    <row r="19" spans="1:65" x14ac:dyDescent="0.3">
      <c r="A19" t="s">
        <v>150</v>
      </c>
      <c r="B19" t="s">
        <v>151</v>
      </c>
      <c r="C19" t="s">
        <v>152</v>
      </c>
      <c r="D19" t="s">
        <v>153</v>
      </c>
      <c r="E19" t="s">
        <v>28</v>
      </c>
      <c r="F19" t="s">
        <v>154</v>
      </c>
      <c r="G19">
        <v>68</v>
      </c>
      <c r="H19">
        <v>70</v>
      </c>
      <c r="I19">
        <v>72</v>
      </c>
      <c r="J19">
        <v>65</v>
      </c>
      <c r="K19">
        <v>36000</v>
      </c>
      <c r="L19">
        <v>40000</v>
      </c>
      <c r="M19" t="s">
        <v>155</v>
      </c>
      <c r="N19" t="s">
        <v>31</v>
      </c>
      <c r="O19" t="s">
        <v>156</v>
      </c>
      <c r="P19" t="str">
        <f t="shared" si="0"/>
        <v xml:space="preserve">  RITU BAJAJ  </v>
      </c>
      <c r="Q19" t="str">
        <f t="shared" si="1"/>
        <v>ritu_bajaj@email.com</v>
      </c>
      <c r="R19" t="str">
        <f t="shared" si="2"/>
        <v>Web Development</v>
      </c>
      <c r="S19" t="str">
        <f t="shared" si="3"/>
        <v>ritu BAJAJ</v>
      </c>
      <c r="T19" t="str">
        <f t="shared" si="4"/>
        <v>VADODARA</v>
      </c>
      <c r="U19" t="str">
        <f t="shared" si="5"/>
        <v>active</v>
      </c>
      <c r="V19" t="str">
        <f t="shared" si="6"/>
        <v xml:space="preserve">  Regular  </v>
      </c>
      <c r="W19" t="str">
        <f t="shared" si="7"/>
        <v>Vadodara</v>
      </c>
      <c r="X19" t="str">
        <f t="shared" si="8"/>
        <v>STU018</v>
      </c>
      <c r="Y19" t="str">
        <f t="shared" si="9"/>
        <v>Regular</v>
      </c>
      <c r="Z19" t="str">
        <f t="shared" si="10"/>
        <v xml:space="preserve">Stu018-  ritu BAJAJ  </v>
      </c>
      <c r="AA19" t="str">
        <f t="shared" si="11"/>
        <v xml:space="preserve">  ritu BAJAJ  -web DEVELOPMENT</v>
      </c>
      <c r="AB19" t="str">
        <f t="shared" si="12"/>
        <v>ritu_bajaj@email.com|9876543227</v>
      </c>
      <c r="AC19" t="str">
        <f t="shared" si="13"/>
        <v>Vadodara, web DEVELOPMENT</v>
      </c>
      <c r="AD19" t="str">
        <f t="shared" si="14"/>
        <v>Student ID: Stu018</v>
      </c>
      <c r="AE19" t="str">
        <f t="shared" si="15"/>
        <v>Stu</v>
      </c>
      <c r="AF19" t="str">
        <f t="shared" si="16"/>
        <v>ritu_b</v>
      </c>
      <c r="AG19" t="str">
        <f t="shared" si="17"/>
        <v>3227</v>
      </c>
      <c r="AH19" t="str">
        <f t="shared" si="18"/>
        <v>018</v>
      </c>
      <c r="AI19" t="str">
        <f t="shared" si="19"/>
        <v>web DEV</v>
      </c>
      <c r="AJ19" t="str">
        <f t="shared" si="20"/>
        <v>Vadod</v>
      </c>
      <c r="AK19" t="str">
        <f t="shared" si="21"/>
        <v>3227</v>
      </c>
      <c r="AL19" t="str">
        <f t="shared" si="22"/>
        <v xml:space="preserve">  ritu BAJ</v>
      </c>
      <c r="AM19" t="str">
        <f t="shared" si="23"/>
        <v>18</v>
      </c>
      <c r="AN19" t="str">
        <f t="shared" si="24"/>
        <v>ritu_baj</v>
      </c>
      <c r="AO19">
        <f t="shared" si="25"/>
        <v>210</v>
      </c>
      <c r="AP19">
        <f t="shared" si="26"/>
        <v>70</v>
      </c>
      <c r="AY19" t="str">
        <f t="shared" si="27"/>
        <v>pass</v>
      </c>
      <c r="AZ19" t="str">
        <f t="shared" si="28"/>
        <v>Low</v>
      </c>
      <c r="BA19" t="str">
        <f t="shared" si="29"/>
        <v>Pending</v>
      </c>
      <c r="BB19" t="str">
        <f t="shared" si="30"/>
        <v>Average</v>
      </c>
      <c r="BC19" t="str">
        <f t="shared" si="31"/>
        <v>Active student</v>
      </c>
      <c r="BD19" t="str">
        <f t="shared" si="32"/>
        <v>Good</v>
      </c>
      <c r="BE19" t="str">
        <f t="shared" si="33"/>
        <v>Grade C</v>
      </c>
      <c r="BF19" t="str">
        <f t="shared" si="34"/>
        <v>Partial</v>
      </c>
      <c r="BG19" t="str">
        <f t="shared" si="35"/>
        <v>Low</v>
      </c>
      <c r="BH19" t="str">
        <f t="shared" si="36"/>
        <v>Not Eligible</v>
      </c>
      <c r="BI19" t="str">
        <f t="shared" si="37"/>
        <v>No Scholarship</v>
      </c>
      <c r="BJ19" t="str">
        <f t="shared" si="38"/>
        <v>Promoted</v>
      </c>
      <c r="BK19" t="str">
        <f t="shared" si="39"/>
        <v>Review</v>
      </c>
      <c r="BL19" t="str">
        <f t="shared" si="40"/>
        <v>Action needed</v>
      </c>
      <c r="BM19" t="str">
        <f t="shared" si="41"/>
        <v>Payment incompleted</v>
      </c>
    </row>
    <row r="20" spans="1:65" x14ac:dyDescent="0.3">
      <c r="A20" t="s">
        <v>157</v>
      </c>
      <c r="B20" t="s">
        <v>158</v>
      </c>
      <c r="C20" t="s">
        <v>159</v>
      </c>
      <c r="D20" t="s">
        <v>160</v>
      </c>
      <c r="E20" t="s">
        <v>102</v>
      </c>
      <c r="F20" t="s">
        <v>161</v>
      </c>
      <c r="G20">
        <v>78</v>
      </c>
      <c r="H20">
        <v>80</v>
      </c>
      <c r="I20">
        <v>76</v>
      </c>
      <c r="J20">
        <v>78</v>
      </c>
      <c r="K20">
        <v>32000</v>
      </c>
      <c r="L20">
        <v>35000</v>
      </c>
      <c r="M20" t="s">
        <v>162</v>
      </c>
      <c r="N20" t="s">
        <v>22</v>
      </c>
      <c r="O20" t="s">
        <v>163</v>
      </c>
      <c r="P20" t="str">
        <f t="shared" si="0"/>
        <v>MANISH KAPOOR</v>
      </c>
      <c r="Q20" t="str">
        <f t="shared" si="1"/>
        <v>manish.kapoor@mail.in</v>
      </c>
      <c r="R20" t="str">
        <f t="shared" si="2"/>
        <v>Digital Marketing</v>
      </c>
      <c r="S20" t="str">
        <f t="shared" si="3"/>
        <v>manish KAPOOR</v>
      </c>
      <c r="T20" t="str">
        <f t="shared" si="4"/>
        <v xml:space="preserve">  LUDHIANA  </v>
      </c>
      <c r="U20" t="str">
        <f t="shared" si="5"/>
        <v>active</v>
      </c>
      <c r="V20" t="str">
        <f t="shared" si="6"/>
        <v>Doing Well</v>
      </c>
      <c r="W20" t="str">
        <f t="shared" si="7"/>
        <v>Ludhiana</v>
      </c>
      <c r="X20" t="str">
        <f t="shared" si="8"/>
        <v>STU019</v>
      </c>
      <c r="Y20" t="str">
        <f t="shared" si="9"/>
        <v>Doing well</v>
      </c>
      <c r="Z20" t="str">
        <f t="shared" si="10"/>
        <v>STU019-manish KAPOOR</v>
      </c>
      <c r="AA20" t="str">
        <f t="shared" si="11"/>
        <v>manish KAPOOR-DIGITAL marketing</v>
      </c>
      <c r="AB20" t="str">
        <f t="shared" si="12"/>
        <v>manish.kapoor@mail.in|9876543228</v>
      </c>
      <c r="AC20" t="str">
        <f t="shared" si="13"/>
        <v xml:space="preserve">  Ludhiana  , DIGITAL marketing</v>
      </c>
      <c r="AD20" t="str">
        <f t="shared" si="14"/>
        <v>Student ID: STU019</v>
      </c>
      <c r="AE20" t="str">
        <f t="shared" si="15"/>
        <v>STU</v>
      </c>
      <c r="AF20" t="str">
        <f t="shared" si="16"/>
        <v>manish</v>
      </c>
      <c r="AG20" t="str">
        <f t="shared" si="17"/>
        <v>3228</v>
      </c>
      <c r="AH20" t="str">
        <f t="shared" si="18"/>
        <v>019</v>
      </c>
      <c r="AI20" t="str">
        <f t="shared" si="19"/>
        <v>DIGITAL</v>
      </c>
      <c r="AJ20" t="str">
        <f t="shared" si="20"/>
        <v xml:space="preserve">  Lud</v>
      </c>
      <c r="AK20" t="str">
        <f t="shared" si="21"/>
        <v>3228</v>
      </c>
      <c r="AL20" t="str">
        <f t="shared" si="22"/>
        <v>manish KAP</v>
      </c>
      <c r="AM20" t="str">
        <f t="shared" si="23"/>
        <v>19</v>
      </c>
      <c r="AN20" t="str">
        <f t="shared" si="24"/>
        <v>manish.k</v>
      </c>
      <c r="AO20">
        <f t="shared" si="25"/>
        <v>234</v>
      </c>
      <c r="AP20">
        <f t="shared" si="26"/>
        <v>78</v>
      </c>
      <c r="AY20" t="str">
        <f t="shared" si="27"/>
        <v>pass</v>
      </c>
      <c r="AZ20" t="str">
        <f t="shared" si="28"/>
        <v>Low</v>
      </c>
      <c r="BA20" t="str">
        <f t="shared" si="29"/>
        <v>Pending</v>
      </c>
      <c r="BB20" t="str">
        <f t="shared" si="30"/>
        <v>Good</v>
      </c>
      <c r="BC20" t="str">
        <f t="shared" si="31"/>
        <v>Active student</v>
      </c>
      <c r="BD20" t="str">
        <f t="shared" si="32"/>
        <v>Good</v>
      </c>
      <c r="BE20" t="str">
        <f t="shared" si="33"/>
        <v>Grade B</v>
      </c>
      <c r="BF20" t="str">
        <f t="shared" si="34"/>
        <v>Partial</v>
      </c>
      <c r="BG20" t="str">
        <f t="shared" si="35"/>
        <v>Medium</v>
      </c>
      <c r="BH20" t="str">
        <f t="shared" si="36"/>
        <v>Eligible</v>
      </c>
      <c r="BI20" t="str">
        <f t="shared" si="37"/>
        <v>No Scholarship</v>
      </c>
      <c r="BJ20" t="str">
        <f t="shared" si="38"/>
        <v>Promoted</v>
      </c>
      <c r="BK20" t="str">
        <f t="shared" si="39"/>
        <v>Good Standing</v>
      </c>
      <c r="BL20" t="str">
        <f t="shared" si="40"/>
        <v>Action needed</v>
      </c>
      <c r="BM20" t="str">
        <f t="shared" si="41"/>
        <v>Payment incompleted</v>
      </c>
    </row>
    <row r="21" spans="1:65" x14ac:dyDescent="0.3">
      <c r="A21" t="s">
        <v>164</v>
      </c>
      <c r="B21" t="s">
        <v>165</v>
      </c>
      <c r="C21" t="s">
        <v>166</v>
      </c>
      <c r="D21" t="s">
        <v>167</v>
      </c>
      <c r="E21" t="s">
        <v>46</v>
      </c>
      <c r="F21" t="s">
        <v>168</v>
      </c>
      <c r="G21">
        <v>60</v>
      </c>
      <c r="H21">
        <v>65</v>
      </c>
      <c r="I21">
        <v>62</v>
      </c>
      <c r="J21">
        <v>58</v>
      </c>
      <c r="K21">
        <v>25000</v>
      </c>
      <c r="L21">
        <v>35000</v>
      </c>
      <c r="M21" t="s">
        <v>169</v>
      </c>
      <c r="N21" t="s">
        <v>81</v>
      </c>
      <c r="O21" t="s">
        <v>170</v>
      </c>
      <c r="P21" t="str">
        <f t="shared" si="0"/>
        <v xml:space="preserve">DIVYA MENON  </v>
      </c>
      <c r="Q21" t="str">
        <f t="shared" si="1"/>
        <v>divya.menon@email.com</v>
      </c>
      <c r="R21" t="str">
        <f t="shared" si="2"/>
        <v>Graphic Design</v>
      </c>
      <c r="S21" t="str">
        <f t="shared" si="3"/>
        <v>DIVYA menon</v>
      </c>
      <c r="T21" t="str">
        <f t="shared" si="4"/>
        <v>AGRA</v>
      </c>
      <c r="U21" t="str">
        <f t="shared" si="5"/>
        <v>inactive</v>
      </c>
      <c r="V21" t="str">
        <f t="shared" si="6"/>
        <v>Irregular</v>
      </c>
      <c r="W21" t="str">
        <f t="shared" si="7"/>
        <v>Agra</v>
      </c>
      <c r="X21" t="str">
        <f t="shared" si="8"/>
        <v>STU020</v>
      </c>
      <c r="Y21" t="str">
        <f t="shared" si="9"/>
        <v>Irregular</v>
      </c>
      <c r="Z21" t="str">
        <f t="shared" si="10"/>
        <v xml:space="preserve">stu020-DIVYA menon  </v>
      </c>
      <c r="AA21" t="str">
        <f t="shared" si="11"/>
        <v>DIVYA menon  -graphic DESIGN</v>
      </c>
      <c r="AB21" t="str">
        <f t="shared" si="12"/>
        <v>divya.menon@email.com|9876543229</v>
      </c>
      <c r="AC21" t="str">
        <f t="shared" si="13"/>
        <v>Agra, graphic DESIGN</v>
      </c>
      <c r="AD21" t="str">
        <f t="shared" si="14"/>
        <v>Student ID: stu020</v>
      </c>
      <c r="AE21" t="str">
        <f t="shared" si="15"/>
        <v>stu</v>
      </c>
      <c r="AF21" t="str">
        <f t="shared" si="16"/>
        <v>divya.</v>
      </c>
      <c r="AG21" t="str">
        <f t="shared" si="17"/>
        <v>3229</v>
      </c>
      <c r="AH21" t="str">
        <f t="shared" si="18"/>
        <v>020</v>
      </c>
      <c r="AI21" t="str">
        <f t="shared" si="19"/>
        <v>graphic</v>
      </c>
      <c r="AJ21" t="str">
        <f t="shared" si="20"/>
        <v>Agra</v>
      </c>
      <c r="AK21" t="str">
        <f t="shared" si="21"/>
        <v>3229</v>
      </c>
      <c r="AL21" t="str">
        <f t="shared" si="22"/>
        <v>DIVYA meno</v>
      </c>
      <c r="AM21" t="str">
        <f t="shared" si="23"/>
        <v>20</v>
      </c>
      <c r="AN21" t="str">
        <f t="shared" si="24"/>
        <v>divya.me</v>
      </c>
      <c r="AO21">
        <f t="shared" si="25"/>
        <v>187</v>
      </c>
      <c r="AP21">
        <f t="shared" si="26"/>
        <v>62.333333333333336</v>
      </c>
      <c r="AY21" t="str">
        <f t="shared" si="27"/>
        <v>pass</v>
      </c>
      <c r="AZ21" t="str">
        <f t="shared" si="28"/>
        <v>Low</v>
      </c>
      <c r="BA21" t="str">
        <f t="shared" si="29"/>
        <v>Pending</v>
      </c>
      <c r="BB21" t="str">
        <f t="shared" si="30"/>
        <v>Average</v>
      </c>
      <c r="BC21" t="str">
        <f t="shared" si="31"/>
        <v>Inactive student</v>
      </c>
      <c r="BD21" t="str">
        <f t="shared" si="32"/>
        <v>Average</v>
      </c>
      <c r="BE21" t="str">
        <f t="shared" si="33"/>
        <v>Grade C</v>
      </c>
      <c r="BF21" t="str">
        <f t="shared" si="34"/>
        <v>Partial</v>
      </c>
      <c r="BG21" t="str">
        <f t="shared" si="35"/>
        <v>Low</v>
      </c>
      <c r="BH21" t="str">
        <f t="shared" si="36"/>
        <v>Not Eligible</v>
      </c>
      <c r="BI21" t="str">
        <f t="shared" si="37"/>
        <v>No Scholarship</v>
      </c>
      <c r="BJ21" t="str">
        <f t="shared" si="38"/>
        <v>Promoted</v>
      </c>
      <c r="BK21" t="str">
        <f t="shared" si="39"/>
        <v>Review</v>
      </c>
      <c r="BL21" t="str">
        <f t="shared" si="40"/>
        <v>Action needed</v>
      </c>
      <c r="BM21" t="str">
        <f t="shared" si="41"/>
        <v>Payment incompleted</v>
      </c>
    </row>
    <row r="22" spans="1:65" x14ac:dyDescent="0.3">
      <c r="A22" t="s">
        <v>171</v>
      </c>
      <c r="B22" t="s">
        <v>172</v>
      </c>
      <c r="C22" t="s">
        <v>173</v>
      </c>
      <c r="D22" t="s">
        <v>174</v>
      </c>
      <c r="E22" t="s">
        <v>87</v>
      </c>
      <c r="F22" t="s">
        <v>175</v>
      </c>
      <c r="G22">
        <v>88</v>
      </c>
      <c r="H22">
        <v>85</v>
      </c>
      <c r="I22">
        <v>90</v>
      </c>
      <c r="J22">
        <v>88</v>
      </c>
      <c r="K22">
        <v>48000</v>
      </c>
      <c r="L22">
        <v>50000</v>
      </c>
      <c r="M22" t="s">
        <v>176</v>
      </c>
      <c r="N22" t="s">
        <v>40</v>
      </c>
      <c r="O22" t="s">
        <v>177</v>
      </c>
      <c r="P22" t="str">
        <f t="shared" si="0"/>
        <v xml:space="preserve">  DEEPAK JAIN</v>
      </c>
      <c r="Q22" t="str">
        <f t="shared" si="1"/>
        <v>deepak.jain@mail.in</v>
      </c>
      <c r="R22" t="str">
        <f t="shared" si="2"/>
        <v>Data Science</v>
      </c>
      <c r="S22" t="str">
        <f t="shared" si="3"/>
        <v>deepak JAIN</v>
      </c>
      <c r="T22" t="str">
        <f t="shared" si="4"/>
        <v xml:space="preserve">  NASHIK  </v>
      </c>
      <c r="U22" t="str">
        <f t="shared" si="5"/>
        <v>active</v>
      </c>
      <c r="V22" t="str">
        <f t="shared" si="6"/>
        <v>Excellent Work</v>
      </c>
      <c r="W22" t="str">
        <f t="shared" si="7"/>
        <v>Nashik</v>
      </c>
      <c r="X22" t="str">
        <f t="shared" si="8"/>
        <v>STU021</v>
      </c>
      <c r="Y22" t="str">
        <f t="shared" si="9"/>
        <v>Excellent work</v>
      </c>
      <c r="Z22" t="str">
        <f t="shared" si="10"/>
        <v>Stu021-  deepak JAIN</v>
      </c>
      <c r="AA22" t="str">
        <f t="shared" si="11"/>
        <v xml:space="preserve">  deepak JAIN-Data SCIENCE</v>
      </c>
      <c r="AB22" t="str">
        <f t="shared" si="12"/>
        <v>deepak.jain@mail.in|9876543230</v>
      </c>
      <c r="AC22" t="str">
        <f t="shared" si="13"/>
        <v xml:space="preserve">  Nashik  , Data SCIENCE</v>
      </c>
      <c r="AD22" t="str">
        <f t="shared" si="14"/>
        <v>Student ID: Stu021</v>
      </c>
      <c r="AE22" t="str">
        <f t="shared" si="15"/>
        <v>Stu</v>
      </c>
      <c r="AF22" t="str">
        <f t="shared" si="16"/>
        <v>deepak</v>
      </c>
      <c r="AG22" t="str">
        <f t="shared" si="17"/>
        <v>3230</v>
      </c>
      <c r="AH22" t="str">
        <f t="shared" si="18"/>
        <v>021</v>
      </c>
      <c r="AI22" t="str">
        <f t="shared" si="19"/>
        <v>Data SC</v>
      </c>
      <c r="AJ22" t="str">
        <f t="shared" si="20"/>
        <v xml:space="preserve">  Nas</v>
      </c>
      <c r="AK22" t="str">
        <f t="shared" si="21"/>
        <v>3230</v>
      </c>
      <c r="AL22" t="str">
        <f t="shared" si="22"/>
        <v xml:space="preserve">  deepak J</v>
      </c>
      <c r="AM22" t="str">
        <f t="shared" si="23"/>
        <v>21</v>
      </c>
      <c r="AN22" t="str">
        <f t="shared" si="24"/>
        <v>deepak.j</v>
      </c>
      <c r="AO22">
        <f t="shared" si="25"/>
        <v>263</v>
      </c>
      <c r="AP22">
        <f t="shared" si="26"/>
        <v>87.666666666666671</v>
      </c>
      <c r="AY22" t="str">
        <f t="shared" si="27"/>
        <v>pass</v>
      </c>
      <c r="AZ22" t="str">
        <f t="shared" si="28"/>
        <v>High</v>
      </c>
      <c r="BA22" t="str">
        <f t="shared" si="29"/>
        <v>Pending</v>
      </c>
      <c r="BB22" t="str">
        <f t="shared" si="30"/>
        <v>Good</v>
      </c>
      <c r="BC22" t="str">
        <f t="shared" si="31"/>
        <v>Active student</v>
      </c>
      <c r="BD22" t="str">
        <f t="shared" si="32"/>
        <v>Excellent</v>
      </c>
      <c r="BE22" t="str">
        <f t="shared" si="33"/>
        <v>Grade B</v>
      </c>
      <c r="BF22" t="str">
        <f t="shared" si="34"/>
        <v>Partial</v>
      </c>
      <c r="BG22" t="str">
        <f t="shared" si="35"/>
        <v>High</v>
      </c>
      <c r="BH22" t="str">
        <f t="shared" si="36"/>
        <v>Eligible</v>
      </c>
      <c r="BI22" t="str">
        <f t="shared" si="37"/>
        <v>No Scholarship</v>
      </c>
      <c r="BJ22" t="str">
        <f t="shared" si="38"/>
        <v>Promoted</v>
      </c>
      <c r="BK22" t="str">
        <f t="shared" si="39"/>
        <v>Good Standing</v>
      </c>
      <c r="BL22" t="str">
        <f t="shared" si="40"/>
        <v>Action needed</v>
      </c>
      <c r="BM22" t="str">
        <f t="shared" si="41"/>
        <v>Payment incompleted</v>
      </c>
    </row>
    <row r="23" spans="1:65" x14ac:dyDescent="0.3">
      <c r="A23" t="s">
        <v>178</v>
      </c>
      <c r="B23" t="s">
        <v>179</v>
      </c>
      <c r="C23" t="s">
        <v>180</v>
      </c>
      <c r="D23" t="s">
        <v>181</v>
      </c>
      <c r="E23" t="s">
        <v>62</v>
      </c>
      <c r="F23" t="s">
        <v>182</v>
      </c>
      <c r="G23">
        <v>70</v>
      </c>
      <c r="H23">
        <v>72</v>
      </c>
      <c r="I23">
        <v>75</v>
      </c>
      <c r="J23">
        <v>70</v>
      </c>
      <c r="K23">
        <v>37000</v>
      </c>
      <c r="L23">
        <v>40000</v>
      </c>
      <c r="M23" t="s">
        <v>183</v>
      </c>
      <c r="N23" t="s">
        <v>22</v>
      </c>
      <c r="O23" t="s">
        <v>184</v>
      </c>
      <c r="P23" t="str">
        <f t="shared" si="0"/>
        <v xml:space="preserve">NIDHI KHANNA  </v>
      </c>
      <c r="Q23" t="str">
        <f t="shared" si="1"/>
        <v>nidhi_khanna@email.com</v>
      </c>
      <c r="R23" t="str">
        <f t="shared" si="2"/>
        <v>Web Development</v>
      </c>
      <c r="S23" t="str">
        <f t="shared" si="3"/>
        <v>nidhi KHANNA</v>
      </c>
      <c r="T23" t="str">
        <f t="shared" si="4"/>
        <v>RAJKOT</v>
      </c>
      <c r="U23" t="str">
        <f t="shared" si="5"/>
        <v>active</v>
      </c>
      <c r="V23" t="str">
        <f t="shared" si="6"/>
        <v xml:space="preserve">  Good Learner  </v>
      </c>
      <c r="W23" t="str">
        <f t="shared" si="7"/>
        <v>Rajkot</v>
      </c>
      <c r="X23" t="str">
        <f t="shared" si="8"/>
        <v>STU022</v>
      </c>
      <c r="Y23" t="str">
        <f t="shared" si="9"/>
        <v>Good learner</v>
      </c>
      <c r="Z23" t="str">
        <f t="shared" si="10"/>
        <v xml:space="preserve">STU022-nidhi KHANNA  </v>
      </c>
      <c r="AA23" t="str">
        <f t="shared" si="11"/>
        <v>nidhi KHANNA  -WEB development</v>
      </c>
      <c r="AB23" t="str">
        <f t="shared" si="12"/>
        <v>nidhi_khanna@email.com|9876543231</v>
      </c>
      <c r="AC23" t="str">
        <f t="shared" si="13"/>
        <v>Rajkot, WEB development</v>
      </c>
      <c r="AD23" t="str">
        <f t="shared" si="14"/>
        <v>Student ID: STU022</v>
      </c>
      <c r="AE23" t="str">
        <f t="shared" si="15"/>
        <v>STU</v>
      </c>
      <c r="AF23" t="str">
        <f t="shared" si="16"/>
        <v>nidhi_</v>
      </c>
      <c r="AG23" t="str">
        <f t="shared" si="17"/>
        <v>3231</v>
      </c>
      <c r="AH23" t="str">
        <f t="shared" si="18"/>
        <v>022</v>
      </c>
      <c r="AI23" t="str">
        <f t="shared" si="19"/>
        <v>WEB dev</v>
      </c>
      <c r="AJ23" t="str">
        <f t="shared" si="20"/>
        <v>Rajko</v>
      </c>
      <c r="AK23" t="str">
        <f t="shared" si="21"/>
        <v>3231</v>
      </c>
      <c r="AL23" t="str">
        <f t="shared" si="22"/>
        <v>nidhi KHAN</v>
      </c>
      <c r="AM23" t="str">
        <f t="shared" si="23"/>
        <v>22</v>
      </c>
      <c r="AN23" t="str">
        <f t="shared" si="24"/>
        <v>nidhi_kh</v>
      </c>
      <c r="AO23">
        <f t="shared" si="25"/>
        <v>217</v>
      </c>
      <c r="AP23">
        <f t="shared" si="26"/>
        <v>72.333333333333329</v>
      </c>
      <c r="AY23" t="str">
        <f t="shared" si="27"/>
        <v>pass</v>
      </c>
      <c r="AZ23" t="str">
        <f t="shared" si="28"/>
        <v>Low</v>
      </c>
      <c r="BA23" t="str">
        <f t="shared" si="29"/>
        <v>Pending</v>
      </c>
      <c r="BB23" t="str">
        <f t="shared" si="30"/>
        <v>Average</v>
      </c>
      <c r="BC23" t="str">
        <f t="shared" si="31"/>
        <v>Active student</v>
      </c>
      <c r="BD23" t="str">
        <f t="shared" si="32"/>
        <v>Good</v>
      </c>
      <c r="BE23" t="str">
        <f t="shared" si="33"/>
        <v>Grade C</v>
      </c>
      <c r="BF23" t="str">
        <f t="shared" si="34"/>
        <v>Partial</v>
      </c>
      <c r="BG23" t="str">
        <f t="shared" si="35"/>
        <v>Medium</v>
      </c>
      <c r="BH23" t="str">
        <f t="shared" si="36"/>
        <v>Not Eligible</v>
      </c>
      <c r="BI23" t="str">
        <f t="shared" si="37"/>
        <v>No Scholarship</v>
      </c>
      <c r="BJ23" t="str">
        <f t="shared" si="38"/>
        <v>Promoted</v>
      </c>
      <c r="BK23" t="str">
        <f t="shared" si="39"/>
        <v>Good Standing</v>
      </c>
      <c r="BL23" t="str">
        <f t="shared" si="40"/>
        <v>Action needed</v>
      </c>
      <c r="BM23" t="str">
        <f t="shared" si="41"/>
        <v>Payment incompleted</v>
      </c>
    </row>
    <row r="24" spans="1:65" x14ac:dyDescent="0.3">
      <c r="A24" t="s">
        <v>185</v>
      </c>
      <c r="B24" t="s">
        <v>186</v>
      </c>
      <c r="C24" t="s">
        <v>187</v>
      </c>
      <c r="D24" t="s">
        <v>188</v>
      </c>
      <c r="E24" t="s">
        <v>189</v>
      </c>
      <c r="F24" t="s">
        <v>190</v>
      </c>
      <c r="G24">
        <v>82</v>
      </c>
      <c r="H24">
        <v>80</v>
      </c>
      <c r="I24">
        <v>84</v>
      </c>
      <c r="J24">
        <v>82</v>
      </c>
      <c r="K24">
        <v>33000</v>
      </c>
      <c r="L24">
        <v>35000</v>
      </c>
      <c r="M24" t="s">
        <v>191</v>
      </c>
      <c r="N24" t="s">
        <v>31</v>
      </c>
      <c r="O24" t="s">
        <v>192</v>
      </c>
      <c r="P24" t="str">
        <f t="shared" si="0"/>
        <v>SURESH KUMAR</v>
      </c>
      <c r="Q24" t="str">
        <f t="shared" si="1"/>
        <v>suresh.kumar@mail.in</v>
      </c>
      <c r="R24" t="str">
        <f t="shared" si="2"/>
        <v>Digital Marketing</v>
      </c>
      <c r="S24" t="str">
        <f t="shared" si="3"/>
        <v>SURESH kumar</v>
      </c>
      <c r="T24" t="str">
        <f t="shared" si="4"/>
        <v xml:space="preserve">  MEERUT  </v>
      </c>
      <c r="U24" t="str">
        <f t="shared" si="5"/>
        <v>active</v>
      </c>
      <c r="V24" t="str">
        <f t="shared" si="6"/>
        <v>Active Participation</v>
      </c>
      <c r="W24" t="str">
        <f t="shared" si="7"/>
        <v>Meerut</v>
      </c>
      <c r="X24" t="str">
        <f t="shared" si="8"/>
        <v>STU023</v>
      </c>
      <c r="Y24" t="str">
        <f t="shared" si="9"/>
        <v>Active participation</v>
      </c>
      <c r="Z24" t="str">
        <f t="shared" si="10"/>
        <v>stu023-SURESH kumar</v>
      </c>
      <c r="AA24" t="str">
        <f t="shared" si="11"/>
        <v>SURESH kumar-digital MARKETING</v>
      </c>
      <c r="AB24" t="str">
        <f t="shared" si="12"/>
        <v>suresh.kumar@mail.in|9876543232</v>
      </c>
      <c r="AC24" t="str">
        <f t="shared" si="13"/>
        <v xml:space="preserve">  Meerut  , digital MARKETING</v>
      </c>
      <c r="AD24" t="str">
        <f t="shared" si="14"/>
        <v>Student ID: stu023</v>
      </c>
      <c r="AE24" t="str">
        <f t="shared" si="15"/>
        <v>stu</v>
      </c>
      <c r="AF24" t="str">
        <f t="shared" si="16"/>
        <v>suresh</v>
      </c>
      <c r="AG24" t="str">
        <f t="shared" si="17"/>
        <v>3232</v>
      </c>
      <c r="AH24" t="str">
        <f t="shared" si="18"/>
        <v>023</v>
      </c>
      <c r="AI24" t="str">
        <f t="shared" si="19"/>
        <v>digital</v>
      </c>
      <c r="AJ24" t="str">
        <f t="shared" si="20"/>
        <v xml:space="preserve">  Mee</v>
      </c>
      <c r="AK24" t="str">
        <f t="shared" si="21"/>
        <v>3232</v>
      </c>
      <c r="AL24" t="str">
        <f t="shared" si="22"/>
        <v>SURESH kum</v>
      </c>
      <c r="AM24" t="str">
        <f t="shared" si="23"/>
        <v>23</v>
      </c>
      <c r="AN24" t="str">
        <f t="shared" si="24"/>
        <v>suresh.k</v>
      </c>
      <c r="AO24">
        <f t="shared" si="25"/>
        <v>246</v>
      </c>
      <c r="AP24">
        <f t="shared" si="26"/>
        <v>82</v>
      </c>
      <c r="AY24" t="str">
        <f t="shared" si="27"/>
        <v>pass</v>
      </c>
      <c r="AZ24" t="str">
        <f t="shared" si="28"/>
        <v>High</v>
      </c>
      <c r="BA24" t="str">
        <f t="shared" si="29"/>
        <v>Pending</v>
      </c>
      <c r="BB24" t="str">
        <f t="shared" si="30"/>
        <v>Good</v>
      </c>
      <c r="BC24" t="str">
        <f t="shared" si="31"/>
        <v>Active student</v>
      </c>
      <c r="BD24" t="str">
        <f t="shared" si="32"/>
        <v>Good</v>
      </c>
      <c r="BE24" t="str">
        <f t="shared" si="33"/>
        <v>Grade B</v>
      </c>
      <c r="BF24" t="str">
        <f t="shared" si="34"/>
        <v>Partial</v>
      </c>
      <c r="BG24" t="str">
        <f t="shared" si="35"/>
        <v>Medium</v>
      </c>
      <c r="BH24" t="str">
        <f t="shared" si="36"/>
        <v>Eligible</v>
      </c>
      <c r="BI24" t="str">
        <f t="shared" si="37"/>
        <v>No Scholarship</v>
      </c>
      <c r="BJ24" t="str">
        <f t="shared" si="38"/>
        <v>Promoted</v>
      </c>
      <c r="BK24" t="str">
        <f t="shared" si="39"/>
        <v>Good Standing</v>
      </c>
      <c r="BL24" t="str">
        <f t="shared" si="40"/>
        <v>Action needed</v>
      </c>
      <c r="BM24" t="str">
        <f t="shared" si="41"/>
        <v>Payment incompleted</v>
      </c>
    </row>
    <row r="25" spans="1:65" x14ac:dyDescent="0.3">
      <c r="A25" t="s">
        <v>193</v>
      </c>
      <c r="B25" t="s">
        <v>194</v>
      </c>
      <c r="C25" t="s">
        <v>195</v>
      </c>
      <c r="D25" t="s">
        <v>196</v>
      </c>
      <c r="E25" t="s">
        <v>78</v>
      </c>
      <c r="F25" t="s">
        <v>197</v>
      </c>
      <c r="G25">
        <v>68</v>
      </c>
      <c r="H25">
        <v>70</v>
      </c>
      <c r="I25">
        <v>68</v>
      </c>
      <c r="J25">
        <v>68</v>
      </c>
      <c r="K25">
        <v>28000</v>
      </c>
      <c r="L25">
        <v>35000</v>
      </c>
      <c r="M25" t="s">
        <v>198</v>
      </c>
      <c r="N25" t="s">
        <v>22</v>
      </c>
      <c r="O25" t="s">
        <v>199</v>
      </c>
      <c r="P25" t="str">
        <f t="shared" si="0"/>
        <v xml:space="preserve">  AARTI MISHRA</v>
      </c>
      <c r="Q25" t="str">
        <f t="shared" si="1"/>
        <v>aarti.mishra@email.com</v>
      </c>
      <c r="R25" t="str">
        <f t="shared" si="2"/>
        <v>Graphic Design</v>
      </c>
      <c r="S25" t="str">
        <f t="shared" si="3"/>
        <v>aarti MISHRA</v>
      </c>
      <c r="T25" t="str">
        <f t="shared" si="4"/>
        <v>VARANASI</v>
      </c>
      <c r="U25" t="str">
        <f t="shared" si="5"/>
        <v>active</v>
      </c>
      <c r="V25" t="str">
        <f t="shared" si="6"/>
        <v>Steady Progress</v>
      </c>
      <c r="W25" t="str">
        <f t="shared" si="7"/>
        <v>Varanasi</v>
      </c>
      <c r="X25" t="str">
        <f t="shared" si="8"/>
        <v>STU024</v>
      </c>
      <c r="Y25" t="str">
        <f t="shared" si="9"/>
        <v>Steady progress</v>
      </c>
      <c r="Z25" t="str">
        <f t="shared" si="10"/>
        <v>Stu024-  aarti MISHRA</v>
      </c>
      <c r="AA25" t="str">
        <f t="shared" si="11"/>
        <v xml:space="preserve">  aarti MISHRA-GRAPHIC design</v>
      </c>
      <c r="AB25" t="str">
        <f t="shared" si="12"/>
        <v>aarti.mishra@email.com|9876543233</v>
      </c>
      <c r="AC25" t="str">
        <f t="shared" si="13"/>
        <v>Varanasi, GRAPHIC design</v>
      </c>
      <c r="AD25" t="str">
        <f t="shared" si="14"/>
        <v>Student ID: Stu024</v>
      </c>
      <c r="AE25" t="str">
        <f t="shared" si="15"/>
        <v>Stu</v>
      </c>
      <c r="AF25" t="str">
        <f t="shared" si="16"/>
        <v>aarti.</v>
      </c>
      <c r="AG25" t="str">
        <f t="shared" si="17"/>
        <v>3233</v>
      </c>
      <c r="AH25" t="str">
        <f t="shared" si="18"/>
        <v>024</v>
      </c>
      <c r="AI25" t="str">
        <f t="shared" si="19"/>
        <v>GRAPHIC</v>
      </c>
      <c r="AJ25" t="str">
        <f t="shared" si="20"/>
        <v>Varan</v>
      </c>
      <c r="AK25" t="str">
        <f t="shared" si="21"/>
        <v>3233</v>
      </c>
      <c r="AL25" t="str">
        <f t="shared" si="22"/>
        <v xml:space="preserve">  aarti MI</v>
      </c>
      <c r="AM25" t="str">
        <f t="shared" si="23"/>
        <v>24</v>
      </c>
      <c r="AN25" t="str">
        <f t="shared" si="24"/>
        <v>aarti.mi</v>
      </c>
      <c r="AO25">
        <f t="shared" si="25"/>
        <v>206</v>
      </c>
      <c r="AP25">
        <f t="shared" si="26"/>
        <v>68.666666666666671</v>
      </c>
      <c r="AY25" t="str">
        <f t="shared" si="27"/>
        <v>pass</v>
      </c>
      <c r="AZ25" t="str">
        <f t="shared" si="28"/>
        <v>Low</v>
      </c>
      <c r="BA25" t="str">
        <f t="shared" si="29"/>
        <v>Pending</v>
      </c>
      <c r="BB25" t="str">
        <f t="shared" si="30"/>
        <v>Average</v>
      </c>
      <c r="BC25" t="str">
        <f t="shared" si="31"/>
        <v>Active student</v>
      </c>
      <c r="BD25" t="str">
        <f t="shared" si="32"/>
        <v>Average</v>
      </c>
      <c r="BE25" t="str">
        <f t="shared" si="33"/>
        <v>Grade C</v>
      </c>
      <c r="BF25" t="str">
        <f t="shared" si="34"/>
        <v>Partial</v>
      </c>
      <c r="BG25" t="str">
        <f t="shared" si="35"/>
        <v>Low</v>
      </c>
      <c r="BH25" t="str">
        <f t="shared" si="36"/>
        <v>Not Eligible</v>
      </c>
      <c r="BI25" t="str">
        <f t="shared" si="37"/>
        <v>No Scholarship</v>
      </c>
      <c r="BJ25" t="str">
        <f t="shared" si="38"/>
        <v>Promoted</v>
      </c>
      <c r="BK25" t="str">
        <f t="shared" si="39"/>
        <v>Review</v>
      </c>
      <c r="BL25" t="str">
        <f t="shared" si="40"/>
        <v>Action needed</v>
      </c>
      <c r="BM25" t="str">
        <f t="shared" si="41"/>
        <v>Payment incompleted</v>
      </c>
    </row>
    <row r="26" spans="1:65" x14ac:dyDescent="0.3">
      <c r="A26" t="s">
        <v>200</v>
      </c>
      <c r="B26" t="s">
        <v>201</v>
      </c>
      <c r="C26" t="s">
        <v>202</v>
      </c>
      <c r="D26" t="s">
        <v>203</v>
      </c>
      <c r="E26" t="s">
        <v>117</v>
      </c>
      <c r="F26" t="s">
        <v>204</v>
      </c>
      <c r="G26">
        <v>85</v>
      </c>
      <c r="H26">
        <v>88</v>
      </c>
      <c r="I26">
        <v>86</v>
      </c>
      <c r="J26">
        <v>85</v>
      </c>
      <c r="K26">
        <v>47000</v>
      </c>
      <c r="L26">
        <v>50000</v>
      </c>
      <c r="M26" t="s">
        <v>205</v>
      </c>
      <c r="N26" t="s">
        <v>40</v>
      </c>
      <c r="O26" t="s">
        <v>206</v>
      </c>
      <c r="P26" t="str">
        <f t="shared" si="0"/>
        <v xml:space="preserve">TARUN SINGH  </v>
      </c>
      <c r="Q26" t="str">
        <f t="shared" si="1"/>
        <v>tarun.singh@mail.in</v>
      </c>
      <c r="R26" t="str">
        <f t="shared" si="2"/>
        <v>Data Science</v>
      </c>
      <c r="S26" t="str">
        <f t="shared" si="3"/>
        <v>tarun SINGH</v>
      </c>
      <c r="T26" t="str">
        <f t="shared" si="4"/>
        <v xml:space="preserve">  ALLAHABAD  </v>
      </c>
      <c r="U26" t="str">
        <f t="shared" si="5"/>
        <v>active</v>
      </c>
      <c r="V26" t="str">
        <f t="shared" si="6"/>
        <v>Committed Student</v>
      </c>
      <c r="W26" t="str">
        <f t="shared" si="7"/>
        <v>Allahabad</v>
      </c>
      <c r="X26" t="str">
        <f t="shared" si="8"/>
        <v>STU025</v>
      </c>
      <c r="Y26" t="str">
        <f t="shared" si="9"/>
        <v>Committed student</v>
      </c>
      <c r="Z26" t="str">
        <f t="shared" si="10"/>
        <v xml:space="preserve">STU025-tarun SINGH  </v>
      </c>
      <c r="AA26" t="str">
        <f t="shared" si="11"/>
        <v>tarun SINGH  -data science</v>
      </c>
      <c r="AB26" t="str">
        <f t="shared" si="12"/>
        <v>tarun.singh@mail.in|9876543234</v>
      </c>
      <c r="AC26" t="str">
        <f t="shared" si="13"/>
        <v xml:space="preserve">  Allahabad  , data science</v>
      </c>
      <c r="AD26" t="str">
        <f t="shared" si="14"/>
        <v>Student ID: STU025</v>
      </c>
      <c r="AE26" t="str">
        <f t="shared" si="15"/>
        <v>STU</v>
      </c>
      <c r="AF26" t="str">
        <f t="shared" si="16"/>
        <v>tarun.</v>
      </c>
      <c r="AG26" t="str">
        <f t="shared" si="17"/>
        <v>3234</v>
      </c>
      <c r="AH26" t="str">
        <f t="shared" si="18"/>
        <v>025</v>
      </c>
      <c r="AI26" t="str">
        <f t="shared" si="19"/>
        <v>data sc</v>
      </c>
      <c r="AJ26" t="str">
        <f t="shared" si="20"/>
        <v xml:space="preserve">  All</v>
      </c>
      <c r="AK26" t="str">
        <f t="shared" si="21"/>
        <v>3234</v>
      </c>
      <c r="AL26" t="str">
        <f t="shared" si="22"/>
        <v>tarun SING</v>
      </c>
      <c r="AM26" t="str">
        <f t="shared" si="23"/>
        <v>25</v>
      </c>
      <c r="AN26" t="str">
        <f t="shared" si="24"/>
        <v>tarun.si</v>
      </c>
      <c r="AO26">
        <f t="shared" si="25"/>
        <v>259</v>
      </c>
      <c r="AP26">
        <f t="shared" si="26"/>
        <v>86.333333333333329</v>
      </c>
      <c r="AY26" t="str">
        <f t="shared" si="27"/>
        <v>pass</v>
      </c>
      <c r="AZ26" t="str">
        <f t="shared" si="28"/>
        <v>High</v>
      </c>
      <c r="BA26" t="str">
        <f t="shared" si="29"/>
        <v>Pending</v>
      </c>
      <c r="BB26" t="str">
        <f t="shared" si="30"/>
        <v>Good</v>
      </c>
      <c r="BC26" t="str">
        <f t="shared" si="31"/>
        <v>Active student</v>
      </c>
      <c r="BD26" t="str">
        <f t="shared" si="32"/>
        <v>Excellent</v>
      </c>
      <c r="BE26" t="str">
        <f t="shared" si="33"/>
        <v>Grade B</v>
      </c>
      <c r="BF26" t="str">
        <f t="shared" si="34"/>
        <v>Partial</v>
      </c>
      <c r="BG26" t="str">
        <f t="shared" si="35"/>
        <v>Low</v>
      </c>
      <c r="BH26" t="str">
        <f t="shared" si="36"/>
        <v>Eligible</v>
      </c>
      <c r="BI26" t="str">
        <f t="shared" si="37"/>
        <v>No Scholarship</v>
      </c>
      <c r="BJ26" t="str">
        <f t="shared" si="38"/>
        <v>Promoted</v>
      </c>
      <c r="BK26" t="str">
        <f t="shared" si="39"/>
        <v>Good Standing</v>
      </c>
      <c r="BL26" t="str">
        <f t="shared" si="40"/>
        <v>Action needed</v>
      </c>
      <c r="BM26" t="str">
        <f t="shared" si="41"/>
        <v>Payment incompleted</v>
      </c>
    </row>
    <row r="27" spans="1:65" x14ac:dyDescent="0.3">
      <c r="A27" t="s">
        <v>207</v>
      </c>
      <c r="B27" t="s">
        <v>208</v>
      </c>
      <c r="C27" t="s">
        <v>209</v>
      </c>
      <c r="D27" t="s">
        <v>210</v>
      </c>
      <c r="E27" t="s">
        <v>211</v>
      </c>
      <c r="F27" t="s">
        <v>212</v>
      </c>
      <c r="G27">
        <v>75</v>
      </c>
      <c r="H27">
        <v>78</v>
      </c>
      <c r="I27">
        <v>72</v>
      </c>
      <c r="J27">
        <v>75</v>
      </c>
      <c r="K27">
        <v>38000</v>
      </c>
      <c r="L27">
        <v>40000</v>
      </c>
      <c r="M27" t="s">
        <v>213</v>
      </c>
      <c r="N27" t="s">
        <v>31</v>
      </c>
      <c r="O27" t="s">
        <v>214</v>
      </c>
      <c r="P27" t="str">
        <f t="shared" si="0"/>
        <v>SIMRAN KAUR</v>
      </c>
      <c r="Q27" t="str">
        <f t="shared" si="1"/>
        <v>simran_kaur@email.com</v>
      </c>
      <c r="R27" t="str">
        <f t="shared" si="2"/>
        <v>Web Development</v>
      </c>
      <c r="S27" t="str">
        <f t="shared" si="3"/>
        <v>SIMRAN kaur</v>
      </c>
      <c r="T27" t="str">
        <f t="shared" si="4"/>
        <v>AMRITSAR</v>
      </c>
      <c r="U27" t="str">
        <f t="shared" si="5"/>
        <v>active</v>
      </c>
      <c r="V27" t="str">
        <f t="shared" si="6"/>
        <v xml:space="preserve">  Punctual  </v>
      </c>
      <c r="W27" t="str">
        <f t="shared" si="7"/>
        <v>Amritsar</v>
      </c>
      <c r="X27" t="str">
        <f t="shared" si="8"/>
        <v>STU026</v>
      </c>
      <c r="Y27" t="str">
        <f t="shared" si="9"/>
        <v>Punctual</v>
      </c>
      <c r="Z27" t="str">
        <f t="shared" si="10"/>
        <v>stu026-SIMRAN kaur</v>
      </c>
      <c r="AA27" t="str">
        <f t="shared" si="11"/>
        <v>SIMRAN kaur-WEB DEVELOPMENT</v>
      </c>
      <c r="AB27" t="str">
        <f t="shared" si="12"/>
        <v>simran_kaur@email.com|9876543235</v>
      </c>
      <c r="AC27" t="str">
        <f t="shared" si="13"/>
        <v>Amritsar, WEB DEVELOPMENT</v>
      </c>
      <c r="AD27" t="str">
        <f t="shared" si="14"/>
        <v>Student ID: stu026</v>
      </c>
      <c r="AE27" t="str">
        <f t="shared" si="15"/>
        <v>stu</v>
      </c>
      <c r="AF27" t="str">
        <f t="shared" si="16"/>
        <v>simran</v>
      </c>
      <c r="AG27" t="str">
        <f t="shared" si="17"/>
        <v>3235</v>
      </c>
      <c r="AH27" t="str">
        <f t="shared" si="18"/>
        <v>026</v>
      </c>
      <c r="AI27" t="str">
        <f t="shared" si="19"/>
        <v>WEB DEV</v>
      </c>
      <c r="AJ27" t="str">
        <f t="shared" si="20"/>
        <v>Amrit</v>
      </c>
      <c r="AK27" t="str">
        <f t="shared" si="21"/>
        <v>3235</v>
      </c>
      <c r="AL27" t="str">
        <f t="shared" si="22"/>
        <v>SIMRAN kau</v>
      </c>
      <c r="AM27" t="str">
        <f t="shared" si="23"/>
        <v>26</v>
      </c>
      <c r="AN27" t="str">
        <f t="shared" si="24"/>
        <v>simran_k</v>
      </c>
      <c r="AO27">
        <f t="shared" si="25"/>
        <v>225</v>
      </c>
      <c r="AP27">
        <f t="shared" si="26"/>
        <v>75</v>
      </c>
      <c r="AY27" t="str">
        <f t="shared" si="27"/>
        <v>pass</v>
      </c>
      <c r="AZ27" t="str">
        <f t="shared" si="28"/>
        <v>Low</v>
      </c>
      <c r="BA27" t="str">
        <f t="shared" si="29"/>
        <v>Pending</v>
      </c>
      <c r="BB27" t="str">
        <f t="shared" si="30"/>
        <v>Good</v>
      </c>
      <c r="BC27" t="str">
        <f t="shared" si="31"/>
        <v>Active student</v>
      </c>
      <c r="BD27" t="str">
        <f t="shared" si="32"/>
        <v>Good</v>
      </c>
      <c r="BE27" t="str">
        <f t="shared" si="33"/>
        <v>Grade B</v>
      </c>
      <c r="BF27" t="str">
        <f t="shared" si="34"/>
        <v>Partial</v>
      </c>
      <c r="BG27" t="str">
        <f t="shared" si="35"/>
        <v>Medium</v>
      </c>
      <c r="BH27" t="str">
        <f t="shared" si="36"/>
        <v>Eligible</v>
      </c>
      <c r="BI27" t="str">
        <f t="shared" si="37"/>
        <v>No Scholarship</v>
      </c>
      <c r="BJ27" t="str">
        <f t="shared" si="38"/>
        <v>Promoted</v>
      </c>
      <c r="BK27" t="str">
        <f t="shared" si="39"/>
        <v>Good Standing</v>
      </c>
      <c r="BL27" t="str">
        <f t="shared" si="40"/>
        <v>Action needed</v>
      </c>
      <c r="BM27" t="str">
        <f t="shared" si="41"/>
        <v>Payment incompleted</v>
      </c>
    </row>
    <row r="28" spans="1:65" x14ac:dyDescent="0.3">
      <c r="A28" t="s">
        <v>215</v>
      </c>
      <c r="B28" t="s">
        <v>216</v>
      </c>
      <c r="C28" t="s">
        <v>217</v>
      </c>
      <c r="D28" t="s">
        <v>218</v>
      </c>
      <c r="E28" t="s">
        <v>37</v>
      </c>
      <c r="F28" t="s">
        <v>219</v>
      </c>
      <c r="G28">
        <v>80</v>
      </c>
      <c r="H28">
        <v>82</v>
      </c>
      <c r="I28">
        <v>78</v>
      </c>
      <c r="J28">
        <v>80</v>
      </c>
      <c r="K28">
        <v>32000</v>
      </c>
      <c r="L28">
        <v>35000</v>
      </c>
      <c r="M28" t="s">
        <v>220</v>
      </c>
      <c r="N28" t="s">
        <v>49</v>
      </c>
      <c r="O28" t="s">
        <v>221</v>
      </c>
      <c r="P28" t="str">
        <f t="shared" si="0"/>
        <v xml:space="preserve">  ALOK TIWARI</v>
      </c>
      <c r="Q28" t="str">
        <f t="shared" si="1"/>
        <v>alok.tiwari@mail.in</v>
      </c>
      <c r="R28" t="str">
        <f t="shared" si="2"/>
        <v>Digital Marketing</v>
      </c>
      <c r="S28" t="str">
        <f t="shared" si="3"/>
        <v>alok TIWARI</v>
      </c>
      <c r="T28" t="str">
        <f t="shared" si="4"/>
        <v xml:space="preserve">  JODHPUR  </v>
      </c>
      <c r="U28" t="str">
        <f t="shared" si="5"/>
        <v>inactive</v>
      </c>
      <c r="V28" t="str">
        <f t="shared" si="6"/>
        <v>Payment Due</v>
      </c>
      <c r="W28" t="str">
        <f t="shared" si="7"/>
        <v>Jodhpur</v>
      </c>
      <c r="X28" t="str">
        <f t="shared" si="8"/>
        <v>STU027</v>
      </c>
      <c r="Y28" t="str">
        <f t="shared" si="9"/>
        <v>Payment due</v>
      </c>
      <c r="Z28" t="str">
        <f t="shared" si="10"/>
        <v>Stu027-  alok TIWARI</v>
      </c>
      <c r="AA28" t="str">
        <f t="shared" si="11"/>
        <v xml:space="preserve">  alok TIWARI-Digital MARKETING</v>
      </c>
      <c r="AB28" t="str">
        <f t="shared" si="12"/>
        <v>alok.tiwari@mail.in|9876543236</v>
      </c>
      <c r="AC28" t="str">
        <f t="shared" si="13"/>
        <v xml:space="preserve">  Jodhpur  , Digital MARKETING</v>
      </c>
      <c r="AD28" t="str">
        <f t="shared" si="14"/>
        <v>Student ID: Stu027</v>
      </c>
      <c r="AE28" t="str">
        <f t="shared" si="15"/>
        <v>Stu</v>
      </c>
      <c r="AF28" t="str">
        <f t="shared" si="16"/>
        <v>alok.t</v>
      </c>
      <c r="AG28" t="str">
        <f t="shared" si="17"/>
        <v>3236</v>
      </c>
      <c r="AH28" t="str">
        <f t="shared" si="18"/>
        <v>027</v>
      </c>
      <c r="AI28" t="str">
        <f t="shared" si="19"/>
        <v>Digital</v>
      </c>
      <c r="AJ28" t="str">
        <f t="shared" si="20"/>
        <v xml:space="preserve">  Jod</v>
      </c>
      <c r="AK28" t="str">
        <f t="shared" si="21"/>
        <v>3236</v>
      </c>
      <c r="AL28" t="str">
        <f t="shared" si="22"/>
        <v xml:space="preserve">  alok TIW</v>
      </c>
      <c r="AM28" t="str">
        <f t="shared" si="23"/>
        <v>27</v>
      </c>
      <c r="AN28" t="str">
        <f t="shared" si="24"/>
        <v>alok.tiw</v>
      </c>
      <c r="AO28">
        <f t="shared" si="25"/>
        <v>240</v>
      </c>
      <c r="AP28">
        <f t="shared" si="26"/>
        <v>80</v>
      </c>
      <c r="AY28" t="str">
        <f t="shared" si="27"/>
        <v>pass</v>
      </c>
      <c r="AZ28" t="str">
        <f t="shared" si="28"/>
        <v>High</v>
      </c>
      <c r="BA28" t="str">
        <f t="shared" si="29"/>
        <v>Pending</v>
      </c>
      <c r="BB28" t="str">
        <f t="shared" si="30"/>
        <v>Good</v>
      </c>
      <c r="BC28" t="str">
        <f t="shared" si="31"/>
        <v>Inactive student</v>
      </c>
      <c r="BD28" t="str">
        <f t="shared" si="32"/>
        <v>Good</v>
      </c>
      <c r="BE28" t="str">
        <f t="shared" si="33"/>
        <v>Grade B</v>
      </c>
      <c r="BF28" t="str">
        <f t="shared" si="34"/>
        <v>Partial</v>
      </c>
      <c r="BG28" t="str">
        <f t="shared" si="35"/>
        <v>Medium</v>
      </c>
      <c r="BH28" t="str">
        <f t="shared" si="36"/>
        <v>Eligible</v>
      </c>
      <c r="BI28" t="str">
        <f t="shared" si="37"/>
        <v>No Scholarship</v>
      </c>
      <c r="BJ28" t="str">
        <f t="shared" si="38"/>
        <v>Promoted</v>
      </c>
      <c r="BK28" t="str">
        <f t="shared" si="39"/>
        <v>Good Standing</v>
      </c>
      <c r="BL28" t="str">
        <f t="shared" si="40"/>
        <v>Action needed</v>
      </c>
      <c r="BM28" t="str">
        <f t="shared" si="41"/>
        <v>Payment incompleted</v>
      </c>
    </row>
    <row r="29" spans="1:65" x14ac:dyDescent="0.3">
      <c r="A29" t="s">
        <v>222</v>
      </c>
      <c r="B29" t="s">
        <v>223</v>
      </c>
      <c r="C29" t="s">
        <v>224</v>
      </c>
      <c r="D29" t="s">
        <v>225</v>
      </c>
      <c r="E29" t="s">
        <v>46</v>
      </c>
      <c r="F29" t="s">
        <v>226</v>
      </c>
      <c r="G29">
        <v>65</v>
      </c>
      <c r="H29">
        <v>68</v>
      </c>
      <c r="I29">
        <v>70</v>
      </c>
      <c r="J29">
        <v>65</v>
      </c>
      <c r="K29">
        <v>27000</v>
      </c>
      <c r="L29">
        <v>35000</v>
      </c>
      <c r="M29" t="s">
        <v>227</v>
      </c>
      <c r="N29" t="s">
        <v>22</v>
      </c>
      <c r="O29" t="s">
        <v>228</v>
      </c>
      <c r="P29" t="str">
        <f t="shared" si="0"/>
        <v xml:space="preserve">RADHIKA PILLAI  </v>
      </c>
      <c r="Q29" t="str">
        <f t="shared" si="1"/>
        <v>radhika.pillai@email.com</v>
      </c>
      <c r="R29" t="str">
        <f t="shared" si="2"/>
        <v>Graphic Design</v>
      </c>
      <c r="S29" t="str">
        <f t="shared" si="3"/>
        <v>radhika PILLAI</v>
      </c>
      <c r="T29" t="str">
        <f t="shared" si="4"/>
        <v>GUWAHATI</v>
      </c>
      <c r="U29" t="str">
        <f t="shared" si="5"/>
        <v>active</v>
      </c>
      <c r="V29" t="str">
        <f t="shared" si="6"/>
        <v>Average</v>
      </c>
      <c r="W29" t="str">
        <f t="shared" si="7"/>
        <v>Guwahati</v>
      </c>
      <c r="X29" t="str">
        <f t="shared" si="8"/>
        <v>STU028</v>
      </c>
      <c r="Y29" t="str">
        <f t="shared" si="9"/>
        <v>Average</v>
      </c>
      <c r="Z29" t="str">
        <f t="shared" si="10"/>
        <v xml:space="preserve">STU028-radhika PILLAI  </v>
      </c>
      <c r="AA29" t="str">
        <f t="shared" si="11"/>
        <v>radhika PILLAI  -graphic DESIGN</v>
      </c>
      <c r="AB29" t="str">
        <f t="shared" si="12"/>
        <v>radhika.pillai@email.com|9876543237</v>
      </c>
      <c r="AC29" t="str">
        <f t="shared" si="13"/>
        <v>Guwahati, graphic DESIGN</v>
      </c>
      <c r="AD29" t="str">
        <f t="shared" si="14"/>
        <v>Student ID: STU028</v>
      </c>
      <c r="AE29" t="str">
        <f t="shared" si="15"/>
        <v>STU</v>
      </c>
      <c r="AF29" t="str">
        <f t="shared" si="16"/>
        <v>radhik</v>
      </c>
      <c r="AG29" t="str">
        <f t="shared" si="17"/>
        <v>3237</v>
      </c>
      <c r="AH29" t="str">
        <f t="shared" si="18"/>
        <v>028</v>
      </c>
      <c r="AI29" t="str">
        <f t="shared" si="19"/>
        <v>graphic</v>
      </c>
      <c r="AJ29" t="str">
        <f t="shared" si="20"/>
        <v>Guwah</v>
      </c>
      <c r="AK29" t="str">
        <f t="shared" si="21"/>
        <v>3237</v>
      </c>
      <c r="AL29" t="str">
        <f t="shared" si="22"/>
        <v>radhika PI</v>
      </c>
      <c r="AM29" t="str">
        <f t="shared" si="23"/>
        <v>28</v>
      </c>
      <c r="AN29" t="str">
        <f t="shared" si="24"/>
        <v>radhika.</v>
      </c>
      <c r="AO29">
        <f t="shared" si="25"/>
        <v>203</v>
      </c>
      <c r="AP29">
        <f t="shared" si="26"/>
        <v>67.666666666666671</v>
      </c>
      <c r="AY29" t="str">
        <f t="shared" si="27"/>
        <v>pass</v>
      </c>
      <c r="AZ29" t="str">
        <f t="shared" si="28"/>
        <v>Low</v>
      </c>
      <c r="BA29" t="str">
        <f t="shared" si="29"/>
        <v>Pending</v>
      </c>
      <c r="BB29" t="str">
        <f t="shared" si="30"/>
        <v>Average</v>
      </c>
      <c r="BC29" t="str">
        <f t="shared" si="31"/>
        <v>Active student</v>
      </c>
      <c r="BD29" t="str">
        <f t="shared" si="32"/>
        <v>Average</v>
      </c>
      <c r="BE29" t="str">
        <f t="shared" si="33"/>
        <v>Grade C</v>
      </c>
      <c r="BF29" t="str">
        <f t="shared" si="34"/>
        <v>Partial</v>
      </c>
      <c r="BG29" t="str">
        <f t="shared" si="35"/>
        <v>Low</v>
      </c>
      <c r="BH29" t="str">
        <f t="shared" si="36"/>
        <v>Not Eligible</v>
      </c>
      <c r="BI29" t="str">
        <f t="shared" si="37"/>
        <v>No Scholarship</v>
      </c>
      <c r="BJ29" t="str">
        <f t="shared" si="38"/>
        <v>Promoted</v>
      </c>
      <c r="BK29" t="str">
        <f t="shared" si="39"/>
        <v>Review</v>
      </c>
      <c r="BL29" t="str">
        <f t="shared" si="40"/>
        <v>Action needed</v>
      </c>
      <c r="BM29" t="str">
        <f t="shared" si="41"/>
        <v>Payment incompleted</v>
      </c>
    </row>
    <row r="30" spans="1:65" x14ac:dyDescent="0.3">
      <c r="A30" t="s">
        <v>229</v>
      </c>
      <c r="B30" t="s">
        <v>230</v>
      </c>
      <c r="C30" t="s">
        <v>231</v>
      </c>
      <c r="D30" t="s">
        <v>232</v>
      </c>
      <c r="E30" t="s">
        <v>19</v>
      </c>
      <c r="F30" t="s">
        <v>233</v>
      </c>
      <c r="G30">
        <v>90</v>
      </c>
      <c r="H30">
        <v>92</v>
      </c>
      <c r="I30">
        <v>88</v>
      </c>
      <c r="J30">
        <v>92</v>
      </c>
      <c r="K30">
        <v>49000</v>
      </c>
      <c r="L30">
        <v>50000</v>
      </c>
      <c r="M30" t="s">
        <v>234</v>
      </c>
      <c r="N30" t="s">
        <v>40</v>
      </c>
      <c r="O30" t="s">
        <v>235</v>
      </c>
      <c r="P30" t="str">
        <f t="shared" si="0"/>
        <v>HARISH REDDY</v>
      </c>
      <c r="Q30" t="str">
        <f t="shared" si="1"/>
        <v>harish.reddy@mail.in</v>
      </c>
      <c r="R30" t="str">
        <f t="shared" si="2"/>
        <v>Data Science</v>
      </c>
      <c r="S30" t="str">
        <f t="shared" si="3"/>
        <v>HARISH reddy</v>
      </c>
      <c r="T30" t="str">
        <f t="shared" si="4"/>
        <v xml:space="preserve">  RANCHI  </v>
      </c>
      <c r="U30" t="str">
        <f t="shared" si="5"/>
        <v>active</v>
      </c>
      <c r="V30" t="str">
        <f t="shared" si="6"/>
        <v xml:space="preserve">  Exceptional  </v>
      </c>
      <c r="W30" t="str">
        <f t="shared" si="7"/>
        <v>Ranchi</v>
      </c>
      <c r="X30" t="str">
        <f t="shared" si="8"/>
        <v>STU029</v>
      </c>
      <c r="Y30" t="str">
        <f t="shared" si="9"/>
        <v>Exceptional</v>
      </c>
      <c r="Z30" t="str">
        <f t="shared" si="10"/>
        <v>stu029-HARISH reddy</v>
      </c>
      <c r="AA30" t="str">
        <f t="shared" si="11"/>
        <v>HARISH reddy-DATA science</v>
      </c>
      <c r="AB30" t="str">
        <f t="shared" si="12"/>
        <v>harish.reddy@mail.in|9876543238</v>
      </c>
      <c r="AC30" t="str">
        <f t="shared" si="13"/>
        <v xml:space="preserve">  Ranchi  , DATA science</v>
      </c>
      <c r="AD30" t="str">
        <f t="shared" si="14"/>
        <v>Student ID: stu029</v>
      </c>
      <c r="AE30" t="str">
        <f t="shared" si="15"/>
        <v>stu</v>
      </c>
      <c r="AF30" t="str">
        <f t="shared" si="16"/>
        <v>harish</v>
      </c>
      <c r="AG30" t="str">
        <f t="shared" si="17"/>
        <v>3238</v>
      </c>
      <c r="AH30" t="str">
        <f t="shared" si="18"/>
        <v>029</v>
      </c>
      <c r="AI30" t="str">
        <f t="shared" si="19"/>
        <v>DATA sc</v>
      </c>
      <c r="AJ30" t="str">
        <f t="shared" si="20"/>
        <v xml:space="preserve">  Ran</v>
      </c>
      <c r="AK30" t="str">
        <f t="shared" si="21"/>
        <v>3238</v>
      </c>
      <c r="AL30" t="str">
        <f t="shared" si="22"/>
        <v>HARISH red</v>
      </c>
      <c r="AM30" t="str">
        <f t="shared" si="23"/>
        <v>29</v>
      </c>
      <c r="AN30" t="str">
        <f t="shared" si="24"/>
        <v>harish.r</v>
      </c>
      <c r="AO30">
        <f t="shared" si="25"/>
        <v>270</v>
      </c>
      <c r="AP30">
        <f t="shared" si="26"/>
        <v>90</v>
      </c>
      <c r="AY30" t="str">
        <f t="shared" si="27"/>
        <v>pass</v>
      </c>
      <c r="AZ30" t="str">
        <f t="shared" si="28"/>
        <v>High</v>
      </c>
      <c r="BA30" t="str">
        <f t="shared" si="29"/>
        <v>Pending</v>
      </c>
      <c r="BB30" t="str">
        <f t="shared" si="30"/>
        <v>Good</v>
      </c>
      <c r="BC30" t="str">
        <f t="shared" si="31"/>
        <v>Active student</v>
      </c>
      <c r="BD30" t="str">
        <f t="shared" si="32"/>
        <v>Excellent</v>
      </c>
      <c r="BE30" t="str">
        <f t="shared" si="33"/>
        <v>Grade B</v>
      </c>
      <c r="BF30" t="str">
        <f t="shared" si="34"/>
        <v>Partial</v>
      </c>
      <c r="BG30" t="str">
        <f t="shared" si="35"/>
        <v>High</v>
      </c>
      <c r="BH30" t="str">
        <f t="shared" si="36"/>
        <v>Eligible</v>
      </c>
      <c r="BI30" t="str">
        <f t="shared" si="37"/>
        <v>No Scholarship</v>
      </c>
      <c r="BJ30" t="str">
        <f t="shared" si="38"/>
        <v>Promoted</v>
      </c>
      <c r="BK30" t="str">
        <f t="shared" si="39"/>
        <v>Good Standing</v>
      </c>
      <c r="BL30" t="str">
        <f t="shared" si="40"/>
        <v>Action needed</v>
      </c>
      <c r="BM30" t="str">
        <f t="shared" si="41"/>
        <v>Payment incompleted</v>
      </c>
    </row>
    <row r="31" spans="1:65" x14ac:dyDescent="0.3">
      <c r="A31" t="s">
        <v>236</v>
      </c>
      <c r="B31" t="s">
        <v>237</v>
      </c>
      <c r="C31" t="s">
        <v>238</v>
      </c>
      <c r="D31" t="s">
        <v>239</v>
      </c>
      <c r="E31" t="s">
        <v>28</v>
      </c>
      <c r="F31" t="s">
        <v>240</v>
      </c>
      <c r="G31">
        <v>72</v>
      </c>
      <c r="H31">
        <v>75</v>
      </c>
      <c r="I31">
        <v>70</v>
      </c>
      <c r="J31">
        <v>72</v>
      </c>
      <c r="K31">
        <v>38000</v>
      </c>
      <c r="L31">
        <v>40000</v>
      </c>
      <c r="M31" t="s">
        <v>241</v>
      </c>
      <c r="N31" t="s">
        <v>31</v>
      </c>
      <c r="O31" t="s">
        <v>242</v>
      </c>
      <c r="P31" t="str">
        <f t="shared" si="0"/>
        <v xml:space="preserve">  MADHURI DESHMUKH</v>
      </c>
      <c r="Q31" t="str">
        <f t="shared" si="1"/>
        <v>madhuri.deshmukh@email.com</v>
      </c>
      <c r="R31" t="str">
        <f t="shared" si="2"/>
        <v>Web Development</v>
      </c>
      <c r="S31" t="str">
        <f t="shared" si="3"/>
        <v>madhuri DESHMUKH</v>
      </c>
      <c r="T31" t="str">
        <f t="shared" si="4"/>
        <v>DEHRADUN</v>
      </c>
      <c r="U31" t="str">
        <f t="shared" si="5"/>
        <v>active</v>
      </c>
      <c r="V31" t="str">
        <f t="shared" si="6"/>
        <v>Consistent Effort</v>
      </c>
      <c r="W31" t="str">
        <f t="shared" si="7"/>
        <v>Dehradun</v>
      </c>
      <c r="X31" t="str">
        <f t="shared" si="8"/>
        <v>STU030</v>
      </c>
      <c r="Y31" t="str">
        <f t="shared" si="9"/>
        <v>Consistent effort</v>
      </c>
      <c r="Z31" t="str">
        <f t="shared" si="10"/>
        <v>Stu030-  madhuri DESHMUKH</v>
      </c>
      <c r="AA31" t="str">
        <f t="shared" si="11"/>
        <v xml:space="preserve">  madhuri DESHMUKH-web DEVELOPMENT</v>
      </c>
      <c r="AB31" t="str">
        <f t="shared" si="12"/>
        <v>madhuri.deshmukh@email.com|9876543239</v>
      </c>
      <c r="AC31" t="str">
        <f t="shared" si="13"/>
        <v>Dehradun, web DEVELOPMENT</v>
      </c>
      <c r="AD31" t="str">
        <f t="shared" si="14"/>
        <v>Student ID: Stu030</v>
      </c>
      <c r="AE31" t="str">
        <f t="shared" si="15"/>
        <v>Stu</v>
      </c>
      <c r="AF31" t="str">
        <f t="shared" si="16"/>
        <v>madhur</v>
      </c>
      <c r="AG31" t="str">
        <f t="shared" si="17"/>
        <v>3239</v>
      </c>
      <c r="AH31" t="str">
        <f t="shared" si="18"/>
        <v>030</v>
      </c>
      <c r="AI31" t="str">
        <f t="shared" si="19"/>
        <v>web DEV</v>
      </c>
      <c r="AJ31" t="str">
        <f t="shared" si="20"/>
        <v>Dehra</v>
      </c>
      <c r="AK31" t="str">
        <f t="shared" si="21"/>
        <v>3239</v>
      </c>
      <c r="AL31" t="str">
        <f t="shared" si="22"/>
        <v xml:space="preserve">  madhuri </v>
      </c>
      <c r="AM31" t="str">
        <f t="shared" si="23"/>
        <v>30</v>
      </c>
      <c r="AN31" t="str">
        <f t="shared" si="24"/>
        <v>madhuri.</v>
      </c>
      <c r="AO31">
        <f t="shared" si="25"/>
        <v>217</v>
      </c>
      <c r="AP31">
        <f t="shared" si="26"/>
        <v>72.333333333333329</v>
      </c>
      <c r="AY31" t="str">
        <f t="shared" si="27"/>
        <v>pass</v>
      </c>
      <c r="AZ31" t="str">
        <f t="shared" si="28"/>
        <v>Low</v>
      </c>
      <c r="BA31" t="str">
        <f t="shared" si="29"/>
        <v>Pending</v>
      </c>
      <c r="BB31" t="str">
        <f t="shared" si="30"/>
        <v>Average</v>
      </c>
      <c r="BC31" t="str">
        <f t="shared" si="31"/>
        <v>Active student</v>
      </c>
      <c r="BD31" t="str">
        <f t="shared" si="32"/>
        <v>Good</v>
      </c>
      <c r="BE31" t="str">
        <f t="shared" si="33"/>
        <v>Grade C</v>
      </c>
      <c r="BF31" t="str">
        <f t="shared" si="34"/>
        <v>Partial</v>
      </c>
      <c r="BG31" t="str">
        <f t="shared" si="35"/>
        <v>Medium</v>
      </c>
      <c r="BH31" t="str">
        <f t="shared" si="36"/>
        <v>Not Eligible</v>
      </c>
      <c r="BI31" t="str">
        <f t="shared" si="37"/>
        <v>No Scholarship</v>
      </c>
      <c r="BJ31" t="str">
        <f t="shared" si="38"/>
        <v>Promoted</v>
      </c>
      <c r="BK31" t="str">
        <f t="shared" si="39"/>
        <v>Good Standing</v>
      </c>
      <c r="BL31" t="str">
        <f t="shared" si="40"/>
        <v>Action needed</v>
      </c>
      <c r="BM31" t="str">
        <f t="shared" si="41"/>
        <v>Payment incompleted</v>
      </c>
    </row>
    <row r="32" spans="1:65" x14ac:dyDescent="0.3">
      <c r="A32" t="s">
        <v>243</v>
      </c>
      <c r="B32" t="s">
        <v>244</v>
      </c>
      <c r="C32" t="s">
        <v>245</v>
      </c>
      <c r="D32" t="s">
        <v>246</v>
      </c>
      <c r="E32" t="s">
        <v>102</v>
      </c>
      <c r="F32" t="s">
        <v>247</v>
      </c>
      <c r="G32">
        <v>78</v>
      </c>
      <c r="H32">
        <v>80</v>
      </c>
      <c r="I32">
        <v>82</v>
      </c>
      <c r="J32">
        <v>78</v>
      </c>
      <c r="K32">
        <v>33000</v>
      </c>
      <c r="L32">
        <v>35000</v>
      </c>
      <c r="M32" t="s">
        <v>248</v>
      </c>
      <c r="N32" t="s">
        <v>22</v>
      </c>
      <c r="O32" t="s">
        <v>249</v>
      </c>
      <c r="P32" t="str">
        <f t="shared" si="0"/>
        <v xml:space="preserve">SUMIT GHOSH  </v>
      </c>
      <c r="Q32" t="str">
        <f t="shared" si="1"/>
        <v>sumit_ghosh@mail.in</v>
      </c>
      <c r="R32" t="str">
        <f t="shared" si="2"/>
        <v>Digital Marketing</v>
      </c>
      <c r="S32" t="str">
        <f t="shared" si="3"/>
        <v>sumit GHOSH</v>
      </c>
      <c r="T32" t="str">
        <f t="shared" si="4"/>
        <v xml:space="preserve">  JAMSHEDPUR  </v>
      </c>
      <c r="U32" t="str">
        <f t="shared" si="5"/>
        <v>active</v>
      </c>
      <c r="V32" t="str">
        <f t="shared" si="6"/>
        <v>Hardworking</v>
      </c>
      <c r="W32" t="str">
        <f t="shared" si="7"/>
        <v>Jamshedpur</v>
      </c>
      <c r="X32" t="str">
        <f t="shared" si="8"/>
        <v>STU031</v>
      </c>
      <c r="Y32" t="str">
        <f t="shared" si="9"/>
        <v>Hardworking</v>
      </c>
      <c r="Z32" t="str">
        <f t="shared" si="10"/>
        <v xml:space="preserve">STU031-sumit GHOSH  </v>
      </c>
      <c r="AA32" t="str">
        <f t="shared" si="11"/>
        <v>sumit GHOSH  -DIGITAL marketing</v>
      </c>
      <c r="AB32" t="str">
        <f t="shared" si="12"/>
        <v>sumit_ghosh@mail.in|9876543240</v>
      </c>
      <c r="AC32" t="str">
        <f t="shared" si="13"/>
        <v xml:space="preserve">  Jamshedpur  , DIGITAL marketing</v>
      </c>
      <c r="AD32" t="str">
        <f t="shared" si="14"/>
        <v>Student ID: STU031</v>
      </c>
      <c r="AE32" t="str">
        <f t="shared" si="15"/>
        <v>STU</v>
      </c>
      <c r="AF32" t="str">
        <f t="shared" si="16"/>
        <v>sumit_</v>
      </c>
      <c r="AG32" t="str">
        <f t="shared" si="17"/>
        <v>3240</v>
      </c>
      <c r="AH32" t="str">
        <f t="shared" si="18"/>
        <v>031</v>
      </c>
      <c r="AI32" t="str">
        <f t="shared" si="19"/>
        <v>DIGITAL</v>
      </c>
      <c r="AJ32" t="str">
        <f t="shared" si="20"/>
        <v xml:space="preserve">  Jam</v>
      </c>
      <c r="AK32" t="str">
        <f t="shared" si="21"/>
        <v>3240</v>
      </c>
      <c r="AL32" t="str">
        <f t="shared" si="22"/>
        <v>sumit GHOS</v>
      </c>
      <c r="AM32" t="str">
        <f t="shared" si="23"/>
        <v>31</v>
      </c>
      <c r="AN32" t="str">
        <f t="shared" si="24"/>
        <v>sumit_gh</v>
      </c>
      <c r="AO32">
        <f t="shared" si="25"/>
        <v>240</v>
      </c>
      <c r="AP32">
        <f t="shared" si="26"/>
        <v>80</v>
      </c>
      <c r="AY32" t="str">
        <f t="shared" si="27"/>
        <v>pass</v>
      </c>
      <c r="AZ32" t="str">
        <f t="shared" si="28"/>
        <v>Low</v>
      </c>
      <c r="BA32" t="str">
        <f t="shared" si="29"/>
        <v>Pending</v>
      </c>
      <c r="BB32" t="str">
        <f t="shared" si="30"/>
        <v>Good</v>
      </c>
      <c r="BC32" t="str">
        <f t="shared" si="31"/>
        <v>Active student</v>
      </c>
      <c r="BD32" t="str">
        <f t="shared" si="32"/>
        <v>Good</v>
      </c>
      <c r="BE32" t="str">
        <f t="shared" si="33"/>
        <v>Grade B</v>
      </c>
      <c r="BF32" t="str">
        <f t="shared" si="34"/>
        <v>Partial</v>
      </c>
      <c r="BG32" t="str">
        <f t="shared" si="35"/>
        <v>Medium</v>
      </c>
      <c r="BH32" t="str">
        <f t="shared" si="36"/>
        <v>Eligible</v>
      </c>
      <c r="BI32" t="str">
        <f t="shared" si="37"/>
        <v>No Scholarship</v>
      </c>
      <c r="BJ32" t="str">
        <f t="shared" si="38"/>
        <v>Promoted</v>
      </c>
      <c r="BK32" t="str">
        <f t="shared" si="39"/>
        <v>Good Standing</v>
      </c>
      <c r="BL32" t="str">
        <f t="shared" si="40"/>
        <v>Action needed</v>
      </c>
      <c r="BM32" t="str">
        <f t="shared" si="41"/>
        <v>Payment incompleted</v>
      </c>
    </row>
    <row r="33" spans="1:65" x14ac:dyDescent="0.3">
      <c r="A33" t="s">
        <v>250</v>
      </c>
      <c r="B33" t="s">
        <v>251</v>
      </c>
      <c r="C33" t="s">
        <v>252</v>
      </c>
      <c r="D33" t="s">
        <v>253</v>
      </c>
      <c r="E33" t="s">
        <v>46</v>
      </c>
      <c r="F33" t="s">
        <v>254</v>
      </c>
      <c r="G33">
        <v>62</v>
      </c>
      <c r="H33">
        <v>65</v>
      </c>
      <c r="I33">
        <v>68</v>
      </c>
      <c r="J33">
        <v>62</v>
      </c>
      <c r="K33">
        <v>26000</v>
      </c>
      <c r="L33">
        <v>35000</v>
      </c>
      <c r="M33" t="s">
        <v>255</v>
      </c>
      <c r="N33" t="s">
        <v>40</v>
      </c>
      <c r="O33" t="s">
        <v>256</v>
      </c>
      <c r="P33" t="str">
        <f t="shared" si="0"/>
        <v>GEETA NAIR</v>
      </c>
      <c r="Q33" t="str">
        <f t="shared" si="1"/>
        <v>geeta.nair@email.com</v>
      </c>
      <c r="R33" t="str">
        <f t="shared" si="2"/>
        <v>Graphic Design</v>
      </c>
      <c r="S33" t="str">
        <f t="shared" si="3"/>
        <v>GEETA nair</v>
      </c>
      <c r="T33" t="str">
        <f t="shared" si="4"/>
        <v>RAIPUR</v>
      </c>
      <c r="U33" t="str">
        <f t="shared" si="5"/>
        <v>active</v>
      </c>
      <c r="V33" t="str">
        <f t="shared" si="6"/>
        <v xml:space="preserve">  Improving Slowly  </v>
      </c>
      <c r="W33" t="str">
        <f t="shared" si="7"/>
        <v>Raipur</v>
      </c>
      <c r="X33" t="str">
        <f t="shared" si="8"/>
        <v>STU032</v>
      </c>
      <c r="Y33" t="str">
        <f t="shared" si="9"/>
        <v>Improving slowly</v>
      </c>
      <c r="Z33" t="str">
        <f t="shared" si="10"/>
        <v>stu032-GEETA nair</v>
      </c>
      <c r="AA33" t="str">
        <f t="shared" si="11"/>
        <v>GEETA nair-graphic DESIGN</v>
      </c>
      <c r="AB33" t="str">
        <f t="shared" si="12"/>
        <v>geeta.nair@email.com|9876543241</v>
      </c>
      <c r="AC33" t="str">
        <f t="shared" si="13"/>
        <v>Raipur, graphic DESIGN</v>
      </c>
      <c r="AD33" t="str">
        <f t="shared" si="14"/>
        <v>Student ID: stu032</v>
      </c>
      <c r="AE33" t="str">
        <f t="shared" si="15"/>
        <v>stu</v>
      </c>
      <c r="AF33" t="str">
        <f t="shared" si="16"/>
        <v>geeta.</v>
      </c>
      <c r="AG33" t="str">
        <f t="shared" si="17"/>
        <v>3241</v>
      </c>
      <c r="AH33" t="str">
        <f t="shared" si="18"/>
        <v>032</v>
      </c>
      <c r="AI33" t="str">
        <f t="shared" si="19"/>
        <v>graphic</v>
      </c>
      <c r="AJ33" t="str">
        <f t="shared" si="20"/>
        <v>Raipu</v>
      </c>
      <c r="AK33" t="str">
        <f t="shared" si="21"/>
        <v>3241</v>
      </c>
      <c r="AL33" t="str">
        <f t="shared" si="22"/>
        <v>GEETA nair</v>
      </c>
      <c r="AM33" t="str">
        <f t="shared" si="23"/>
        <v>32</v>
      </c>
      <c r="AN33" t="str">
        <f t="shared" si="24"/>
        <v>geeta.na</v>
      </c>
      <c r="AO33">
        <f t="shared" si="25"/>
        <v>195</v>
      </c>
      <c r="AP33">
        <f t="shared" si="26"/>
        <v>65</v>
      </c>
      <c r="AY33" t="str">
        <f t="shared" si="27"/>
        <v>pass</v>
      </c>
      <c r="AZ33" t="str">
        <f t="shared" si="28"/>
        <v>Low</v>
      </c>
      <c r="BA33" t="str">
        <f t="shared" si="29"/>
        <v>Pending</v>
      </c>
      <c r="BB33" t="str">
        <f t="shared" si="30"/>
        <v>Average</v>
      </c>
      <c r="BC33" t="str">
        <f t="shared" si="31"/>
        <v>Active student</v>
      </c>
      <c r="BD33" t="str">
        <f t="shared" si="32"/>
        <v>Average</v>
      </c>
      <c r="BE33" t="str">
        <f t="shared" si="33"/>
        <v>Grade C</v>
      </c>
      <c r="BF33" t="str">
        <f t="shared" si="34"/>
        <v>Partial</v>
      </c>
      <c r="BG33" t="str">
        <f t="shared" si="35"/>
        <v>Low</v>
      </c>
      <c r="BH33" t="str">
        <f t="shared" si="36"/>
        <v>Not Eligible</v>
      </c>
      <c r="BI33" t="str">
        <f t="shared" si="37"/>
        <v>No Scholarship</v>
      </c>
      <c r="BJ33" t="str">
        <f t="shared" si="38"/>
        <v>Promoted</v>
      </c>
      <c r="BK33" t="str">
        <f t="shared" si="39"/>
        <v>Review</v>
      </c>
      <c r="BL33" t="str">
        <f t="shared" si="40"/>
        <v>Action needed</v>
      </c>
      <c r="BM33" t="str">
        <f t="shared" si="41"/>
        <v>Payment incompleted</v>
      </c>
    </row>
    <row r="34" spans="1:65" x14ac:dyDescent="0.3">
      <c r="A34" t="s">
        <v>257</v>
      </c>
      <c r="B34" t="s">
        <v>258</v>
      </c>
      <c r="C34" t="s">
        <v>259</v>
      </c>
      <c r="D34" t="s">
        <v>260</v>
      </c>
      <c r="E34" t="s">
        <v>87</v>
      </c>
      <c r="F34" t="s">
        <v>261</v>
      </c>
      <c r="G34">
        <v>88</v>
      </c>
      <c r="H34">
        <v>90</v>
      </c>
      <c r="I34">
        <v>85</v>
      </c>
      <c r="J34">
        <v>88</v>
      </c>
      <c r="K34">
        <v>48000</v>
      </c>
      <c r="L34">
        <v>50000</v>
      </c>
      <c r="M34" t="s">
        <v>262</v>
      </c>
      <c r="N34" t="s">
        <v>31</v>
      </c>
      <c r="O34" t="s">
        <v>263</v>
      </c>
      <c r="P34" t="str">
        <f t="shared" si="0"/>
        <v xml:space="preserve">  RAMESH PATEL</v>
      </c>
      <c r="Q34" t="str">
        <f t="shared" si="1"/>
        <v>ramesh.patel@mail.in</v>
      </c>
      <c r="R34" t="str">
        <f t="shared" si="2"/>
        <v>Data Science</v>
      </c>
      <c r="S34" t="str">
        <f t="shared" si="3"/>
        <v>ramesh PATEL</v>
      </c>
      <c r="T34" t="str">
        <f t="shared" si="4"/>
        <v xml:space="preserve">  COIMBATORE  </v>
      </c>
      <c r="U34" t="str">
        <f t="shared" si="5"/>
        <v>active</v>
      </c>
      <c r="V34" t="str">
        <f t="shared" si="6"/>
        <v>Strong Student</v>
      </c>
      <c r="W34" t="str">
        <f t="shared" si="7"/>
        <v>Coimbatore</v>
      </c>
      <c r="X34" t="str">
        <f t="shared" si="8"/>
        <v>STU033</v>
      </c>
      <c r="Y34" t="str">
        <f t="shared" si="9"/>
        <v>Strong student</v>
      </c>
      <c r="Z34" t="str">
        <f t="shared" si="10"/>
        <v>Stu033-  ramesh PATEL</v>
      </c>
      <c r="AA34" t="str">
        <f t="shared" si="11"/>
        <v xml:space="preserve">  ramesh PATEL-Data SCIENCE</v>
      </c>
      <c r="AB34" t="str">
        <f t="shared" si="12"/>
        <v>ramesh.patel@mail.in|9876543242</v>
      </c>
      <c r="AC34" t="str">
        <f t="shared" si="13"/>
        <v xml:space="preserve">  Coimbatore  , Data SCIENCE</v>
      </c>
      <c r="AD34" t="str">
        <f t="shared" si="14"/>
        <v>Student ID: Stu033</v>
      </c>
      <c r="AE34" t="str">
        <f t="shared" si="15"/>
        <v>Stu</v>
      </c>
      <c r="AF34" t="str">
        <f t="shared" si="16"/>
        <v>ramesh</v>
      </c>
      <c r="AG34" t="str">
        <f t="shared" si="17"/>
        <v>3242</v>
      </c>
      <c r="AH34" t="str">
        <f t="shared" si="18"/>
        <v>033</v>
      </c>
      <c r="AI34" t="str">
        <f t="shared" si="19"/>
        <v>Data SC</v>
      </c>
      <c r="AJ34" t="str">
        <f t="shared" si="20"/>
        <v xml:space="preserve">  Coi</v>
      </c>
      <c r="AK34" t="str">
        <f t="shared" si="21"/>
        <v>3242</v>
      </c>
      <c r="AL34" t="str">
        <f t="shared" si="22"/>
        <v xml:space="preserve">  ramesh P</v>
      </c>
      <c r="AM34" t="str">
        <f t="shared" si="23"/>
        <v>33</v>
      </c>
      <c r="AN34" t="str">
        <f t="shared" si="24"/>
        <v>ramesh.p</v>
      </c>
      <c r="AO34">
        <f t="shared" si="25"/>
        <v>263</v>
      </c>
      <c r="AP34">
        <f t="shared" si="26"/>
        <v>87.666666666666671</v>
      </c>
      <c r="AY34" t="str">
        <f t="shared" si="27"/>
        <v>pass</v>
      </c>
      <c r="AZ34" t="str">
        <f t="shared" si="28"/>
        <v>High</v>
      </c>
      <c r="BA34" t="str">
        <f t="shared" si="29"/>
        <v>Pending</v>
      </c>
      <c r="BB34" t="str">
        <f t="shared" si="30"/>
        <v>Good</v>
      </c>
      <c r="BC34" t="str">
        <f t="shared" si="31"/>
        <v>Active student</v>
      </c>
      <c r="BD34" t="str">
        <f t="shared" si="32"/>
        <v>Excellent</v>
      </c>
      <c r="BE34" t="str">
        <f t="shared" si="33"/>
        <v>Grade B</v>
      </c>
      <c r="BF34" t="str">
        <f t="shared" si="34"/>
        <v>Partial</v>
      </c>
      <c r="BG34" t="str">
        <f t="shared" si="35"/>
        <v>High</v>
      </c>
      <c r="BH34" t="str">
        <f t="shared" si="36"/>
        <v>Eligible</v>
      </c>
      <c r="BI34" t="str">
        <f t="shared" si="37"/>
        <v>No Scholarship</v>
      </c>
      <c r="BJ34" t="str">
        <f t="shared" si="38"/>
        <v>Promoted</v>
      </c>
      <c r="BK34" t="str">
        <f t="shared" si="39"/>
        <v>Good Standing</v>
      </c>
      <c r="BL34" t="str">
        <f t="shared" si="40"/>
        <v>Action needed</v>
      </c>
      <c r="BM34" t="str">
        <f t="shared" si="41"/>
        <v>Payment incompleted</v>
      </c>
    </row>
    <row r="35" spans="1:65" x14ac:dyDescent="0.3">
      <c r="A35" t="s">
        <v>264</v>
      </c>
      <c r="B35" t="s">
        <v>265</v>
      </c>
      <c r="C35" t="s">
        <v>266</v>
      </c>
      <c r="D35" t="s">
        <v>267</v>
      </c>
      <c r="E35" t="s">
        <v>62</v>
      </c>
      <c r="F35" t="s">
        <v>268</v>
      </c>
      <c r="G35">
        <v>68</v>
      </c>
      <c r="H35">
        <v>70</v>
      </c>
      <c r="I35">
        <v>72</v>
      </c>
      <c r="J35">
        <v>68</v>
      </c>
      <c r="K35">
        <v>36000</v>
      </c>
      <c r="L35">
        <v>40000</v>
      </c>
      <c r="M35" t="s">
        <v>269</v>
      </c>
      <c r="N35" t="s">
        <v>22</v>
      </c>
      <c r="O35" t="s">
        <v>270</v>
      </c>
      <c r="P35" t="str">
        <f t="shared" si="0"/>
        <v xml:space="preserve">SUNITA VERMA  </v>
      </c>
      <c r="Q35" t="str">
        <f t="shared" si="1"/>
        <v>sunita.verma@email.com</v>
      </c>
      <c r="R35" t="str">
        <f t="shared" si="2"/>
        <v>Web Development</v>
      </c>
      <c r="S35" t="str">
        <f t="shared" si="3"/>
        <v>sunita VERMA</v>
      </c>
      <c r="T35" t="str">
        <f t="shared" si="4"/>
        <v>MADURAI</v>
      </c>
      <c r="U35" t="str">
        <f t="shared" si="5"/>
        <v>active</v>
      </c>
      <c r="V35" t="str">
        <f t="shared" si="6"/>
        <v>Regular Attendee</v>
      </c>
      <c r="W35" t="str">
        <f t="shared" si="7"/>
        <v>Madurai</v>
      </c>
      <c r="X35" t="str">
        <f t="shared" si="8"/>
        <v>STU034</v>
      </c>
      <c r="Y35" t="str">
        <f t="shared" si="9"/>
        <v>Regular attendee</v>
      </c>
      <c r="Z35" t="str">
        <f t="shared" si="10"/>
        <v xml:space="preserve">STU034-sunita VERMA  </v>
      </c>
      <c r="AA35" t="str">
        <f t="shared" si="11"/>
        <v>sunita VERMA  -WEB development</v>
      </c>
      <c r="AB35" t="str">
        <f t="shared" si="12"/>
        <v>sunita.verma@email.com|9876543243</v>
      </c>
      <c r="AC35" t="str">
        <f t="shared" si="13"/>
        <v>Madurai, WEB development</v>
      </c>
      <c r="AD35" t="str">
        <f t="shared" si="14"/>
        <v>Student ID: STU034</v>
      </c>
      <c r="AE35" t="str">
        <f t="shared" si="15"/>
        <v>STU</v>
      </c>
      <c r="AF35" t="str">
        <f t="shared" si="16"/>
        <v>sunita</v>
      </c>
      <c r="AG35" t="str">
        <f t="shared" si="17"/>
        <v>3243</v>
      </c>
      <c r="AH35" t="str">
        <f t="shared" si="18"/>
        <v>034</v>
      </c>
      <c r="AI35" t="str">
        <f t="shared" si="19"/>
        <v>WEB dev</v>
      </c>
      <c r="AJ35" t="str">
        <f t="shared" si="20"/>
        <v>Madur</v>
      </c>
      <c r="AK35" t="str">
        <f t="shared" si="21"/>
        <v>3243</v>
      </c>
      <c r="AL35" t="str">
        <f t="shared" si="22"/>
        <v>sunita VER</v>
      </c>
      <c r="AM35" t="str">
        <f t="shared" si="23"/>
        <v>34</v>
      </c>
      <c r="AN35" t="str">
        <f t="shared" si="24"/>
        <v>sunita.v</v>
      </c>
      <c r="AO35">
        <f t="shared" si="25"/>
        <v>210</v>
      </c>
      <c r="AP35">
        <f t="shared" si="26"/>
        <v>70</v>
      </c>
      <c r="AY35" t="str">
        <f t="shared" si="27"/>
        <v>pass</v>
      </c>
      <c r="AZ35" t="str">
        <f t="shared" si="28"/>
        <v>Low</v>
      </c>
      <c r="BA35" t="str">
        <f t="shared" si="29"/>
        <v>Pending</v>
      </c>
      <c r="BB35" t="str">
        <f t="shared" si="30"/>
        <v>Average</v>
      </c>
      <c r="BC35" t="str">
        <f t="shared" si="31"/>
        <v>Active student</v>
      </c>
      <c r="BD35" t="str">
        <f t="shared" si="32"/>
        <v>Good</v>
      </c>
      <c r="BE35" t="str">
        <f t="shared" si="33"/>
        <v>Grade C</v>
      </c>
      <c r="BF35" t="str">
        <f t="shared" si="34"/>
        <v>Partial</v>
      </c>
      <c r="BG35" t="str">
        <f t="shared" si="35"/>
        <v>Low</v>
      </c>
      <c r="BH35" t="str">
        <f t="shared" si="36"/>
        <v>Not Eligible</v>
      </c>
      <c r="BI35" t="str">
        <f t="shared" si="37"/>
        <v>No Scholarship</v>
      </c>
      <c r="BJ35" t="str">
        <f t="shared" si="38"/>
        <v>Promoted</v>
      </c>
      <c r="BK35" t="str">
        <f t="shared" si="39"/>
        <v>Review</v>
      </c>
      <c r="BL35" t="str">
        <f t="shared" si="40"/>
        <v>Action needed</v>
      </c>
      <c r="BM35" t="str">
        <f t="shared" si="41"/>
        <v>Payment incompleted</v>
      </c>
    </row>
    <row r="36" spans="1:65" x14ac:dyDescent="0.3">
      <c r="A36" t="s">
        <v>271</v>
      </c>
      <c r="B36" t="s">
        <v>272</v>
      </c>
      <c r="C36" t="s">
        <v>273</v>
      </c>
      <c r="D36" t="s">
        <v>274</v>
      </c>
      <c r="E36" t="s">
        <v>189</v>
      </c>
      <c r="F36" t="s">
        <v>275</v>
      </c>
      <c r="G36">
        <v>75</v>
      </c>
      <c r="H36">
        <v>78</v>
      </c>
      <c r="I36">
        <v>80</v>
      </c>
      <c r="J36">
        <v>75</v>
      </c>
      <c r="K36">
        <v>32000</v>
      </c>
      <c r="L36">
        <v>35000</v>
      </c>
      <c r="M36" t="s">
        <v>276</v>
      </c>
      <c r="N36" t="s">
        <v>40</v>
      </c>
      <c r="O36" t="s">
        <v>277</v>
      </c>
      <c r="P36" t="str">
        <f t="shared" si="0"/>
        <v>VIVEK CHOPRA</v>
      </c>
      <c r="Q36" t="str">
        <f t="shared" si="1"/>
        <v>vivek.chopra@mail.in</v>
      </c>
      <c r="R36" t="str">
        <f t="shared" si="2"/>
        <v>Digital Marketing</v>
      </c>
      <c r="S36" t="str">
        <f t="shared" si="3"/>
        <v>VIVEK chopra</v>
      </c>
      <c r="T36" t="str">
        <f t="shared" si="4"/>
        <v xml:space="preserve">  MYSORE  </v>
      </c>
      <c r="U36" t="str">
        <f t="shared" si="5"/>
        <v>active</v>
      </c>
      <c r="V36" t="str">
        <f t="shared" si="6"/>
        <v xml:space="preserve">  Focused  </v>
      </c>
      <c r="W36" t="str">
        <f t="shared" si="7"/>
        <v>Mysore</v>
      </c>
      <c r="X36" t="str">
        <f t="shared" si="8"/>
        <v>STU035</v>
      </c>
      <c r="Y36" t="str">
        <f t="shared" si="9"/>
        <v>Focused</v>
      </c>
      <c r="Z36" t="str">
        <f t="shared" si="10"/>
        <v>stu035-VIVEK chopra</v>
      </c>
      <c r="AA36" t="str">
        <f t="shared" si="11"/>
        <v>VIVEK chopra-digital MARKETING</v>
      </c>
      <c r="AB36" t="str">
        <f t="shared" si="12"/>
        <v>vivek.chopra@mail.in|9876543244</v>
      </c>
      <c r="AC36" t="str">
        <f t="shared" si="13"/>
        <v xml:space="preserve">  Mysore  , digital MARKETING</v>
      </c>
      <c r="AD36" t="str">
        <f t="shared" si="14"/>
        <v>Student ID: stu035</v>
      </c>
      <c r="AE36" t="str">
        <f t="shared" si="15"/>
        <v>stu</v>
      </c>
      <c r="AF36" t="str">
        <f t="shared" si="16"/>
        <v>vivek.</v>
      </c>
      <c r="AG36" t="str">
        <f t="shared" si="17"/>
        <v>3244</v>
      </c>
      <c r="AH36" t="str">
        <f t="shared" si="18"/>
        <v>035</v>
      </c>
      <c r="AI36" t="str">
        <f t="shared" si="19"/>
        <v>digital</v>
      </c>
      <c r="AJ36" t="str">
        <f t="shared" si="20"/>
        <v xml:space="preserve">  Mys</v>
      </c>
      <c r="AK36" t="str">
        <f t="shared" si="21"/>
        <v>3244</v>
      </c>
      <c r="AL36" t="str">
        <f t="shared" si="22"/>
        <v>VIVEK chop</v>
      </c>
      <c r="AM36" t="str">
        <f t="shared" si="23"/>
        <v>35</v>
      </c>
      <c r="AN36" t="str">
        <f t="shared" si="24"/>
        <v>vivek.ch</v>
      </c>
      <c r="AO36">
        <f t="shared" si="25"/>
        <v>233</v>
      </c>
      <c r="AP36">
        <f t="shared" si="26"/>
        <v>77.666666666666671</v>
      </c>
      <c r="AY36" t="str">
        <f t="shared" si="27"/>
        <v>pass</v>
      </c>
      <c r="AZ36" t="str">
        <f t="shared" si="28"/>
        <v>Low</v>
      </c>
      <c r="BA36" t="str">
        <f t="shared" si="29"/>
        <v>Pending</v>
      </c>
      <c r="BB36" t="str">
        <f t="shared" si="30"/>
        <v>Good</v>
      </c>
      <c r="BC36" t="str">
        <f t="shared" si="31"/>
        <v>Active student</v>
      </c>
      <c r="BD36" t="str">
        <f t="shared" si="32"/>
        <v>Good</v>
      </c>
      <c r="BE36" t="str">
        <f t="shared" si="33"/>
        <v>Grade B</v>
      </c>
      <c r="BF36" t="str">
        <f t="shared" si="34"/>
        <v>Partial</v>
      </c>
      <c r="BG36" t="str">
        <f t="shared" si="35"/>
        <v>Medium</v>
      </c>
      <c r="BH36" t="str">
        <f t="shared" si="36"/>
        <v>Eligible</v>
      </c>
      <c r="BI36" t="str">
        <f t="shared" si="37"/>
        <v>No Scholarship</v>
      </c>
      <c r="BJ36" t="str">
        <f t="shared" si="38"/>
        <v>Promoted</v>
      </c>
      <c r="BK36" t="str">
        <f t="shared" si="39"/>
        <v>Good Standing</v>
      </c>
      <c r="BL36" t="str">
        <f t="shared" si="40"/>
        <v>Action needed</v>
      </c>
      <c r="BM36" t="str">
        <f t="shared" si="41"/>
        <v>Payment incompleted</v>
      </c>
    </row>
    <row r="37" spans="1:65" x14ac:dyDescent="0.3">
      <c r="A37" t="s">
        <v>278</v>
      </c>
      <c r="B37" t="s">
        <v>279</v>
      </c>
      <c r="C37" t="s">
        <v>280</v>
      </c>
      <c r="D37" t="s">
        <v>281</v>
      </c>
      <c r="E37" t="s">
        <v>78</v>
      </c>
      <c r="F37" t="s">
        <v>282</v>
      </c>
      <c r="G37">
        <v>70</v>
      </c>
      <c r="H37">
        <v>72</v>
      </c>
      <c r="I37">
        <v>68</v>
      </c>
      <c r="J37">
        <v>70</v>
      </c>
      <c r="K37">
        <v>29000</v>
      </c>
      <c r="L37">
        <v>35000</v>
      </c>
      <c r="M37" t="s">
        <v>283</v>
      </c>
      <c r="N37" t="s">
        <v>81</v>
      </c>
      <c r="O37" t="s">
        <v>284</v>
      </c>
      <c r="P37" t="str">
        <f t="shared" si="0"/>
        <v xml:space="preserve">  SAPNA BHATIA</v>
      </c>
      <c r="Q37" t="str">
        <f t="shared" si="1"/>
        <v>sapna_bhatia@email.com</v>
      </c>
      <c r="R37" t="str">
        <f t="shared" si="2"/>
        <v>Graphic Design</v>
      </c>
      <c r="S37" t="str">
        <f t="shared" si="3"/>
        <v>sapna BHATIA</v>
      </c>
      <c r="T37" t="str">
        <f t="shared" si="4"/>
        <v>TRICHY</v>
      </c>
      <c r="U37" t="str">
        <f t="shared" si="5"/>
        <v>inactive</v>
      </c>
      <c r="V37" t="str">
        <f t="shared" si="6"/>
        <v>Low Marks</v>
      </c>
      <c r="W37" t="str">
        <f t="shared" si="7"/>
        <v>Trichy</v>
      </c>
      <c r="X37" t="str">
        <f t="shared" si="8"/>
        <v>STU036</v>
      </c>
      <c r="Y37" t="str">
        <f t="shared" si="9"/>
        <v>Low marks</v>
      </c>
      <c r="Z37" t="str">
        <f t="shared" si="10"/>
        <v>Stu036-  sapna BHATIA</v>
      </c>
      <c r="AA37" t="str">
        <f t="shared" si="11"/>
        <v xml:space="preserve">  sapna BHATIA-GRAPHIC design</v>
      </c>
      <c r="AB37" t="str">
        <f t="shared" si="12"/>
        <v>sapna_bhatia@email.com|9876543245</v>
      </c>
      <c r="AC37" t="str">
        <f t="shared" si="13"/>
        <v>Trichy, GRAPHIC design</v>
      </c>
      <c r="AD37" t="str">
        <f t="shared" si="14"/>
        <v>Student ID: Stu036</v>
      </c>
      <c r="AE37" t="str">
        <f t="shared" si="15"/>
        <v>Stu</v>
      </c>
      <c r="AF37" t="str">
        <f t="shared" si="16"/>
        <v>sapna_</v>
      </c>
      <c r="AG37" t="str">
        <f t="shared" si="17"/>
        <v>3245</v>
      </c>
      <c r="AH37" t="str">
        <f t="shared" si="18"/>
        <v>036</v>
      </c>
      <c r="AI37" t="str">
        <f t="shared" si="19"/>
        <v>GRAPHIC</v>
      </c>
      <c r="AJ37" t="str">
        <f t="shared" si="20"/>
        <v>Trich</v>
      </c>
      <c r="AK37" t="str">
        <f t="shared" si="21"/>
        <v>3245</v>
      </c>
      <c r="AL37" t="str">
        <f t="shared" si="22"/>
        <v xml:space="preserve">  sapna BH</v>
      </c>
      <c r="AM37" t="str">
        <f t="shared" si="23"/>
        <v>36</v>
      </c>
      <c r="AN37" t="str">
        <f t="shared" si="24"/>
        <v>sapna_bh</v>
      </c>
      <c r="AO37">
        <f t="shared" si="25"/>
        <v>210</v>
      </c>
      <c r="AP37">
        <f t="shared" si="26"/>
        <v>70</v>
      </c>
      <c r="AY37" t="str">
        <f t="shared" si="27"/>
        <v>pass</v>
      </c>
      <c r="AZ37" t="str">
        <f t="shared" si="28"/>
        <v>Low</v>
      </c>
      <c r="BA37" t="str">
        <f t="shared" si="29"/>
        <v>Pending</v>
      </c>
      <c r="BB37" t="str">
        <f t="shared" si="30"/>
        <v>Average</v>
      </c>
      <c r="BC37" t="str">
        <f t="shared" si="31"/>
        <v>Inactive student</v>
      </c>
      <c r="BD37" t="str">
        <f t="shared" si="32"/>
        <v>Good</v>
      </c>
      <c r="BE37" t="str">
        <f t="shared" si="33"/>
        <v>Grade C</v>
      </c>
      <c r="BF37" t="str">
        <f t="shared" si="34"/>
        <v>Partial</v>
      </c>
      <c r="BG37" t="str">
        <f t="shared" si="35"/>
        <v>Medium</v>
      </c>
      <c r="BH37" t="str">
        <f t="shared" si="36"/>
        <v>Not Eligible</v>
      </c>
      <c r="BI37" t="str">
        <f t="shared" si="37"/>
        <v>No Scholarship</v>
      </c>
      <c r="BJ37" t="str">
        <f t="shared" si="38"/>
        <v>Promoted</v>
      </c>
      <c r="BK37" t="str">
        <f t="shared" si="39"/>
        <v>Good Standing</v>
      </c>
      <c r="BL37" t="str">
        <f t="shared" si="40"/>
        <v>Action needed</v>
      </c>
      <c r="BM37" t="str">
        <f t="shared" si="41"/>
        <v>Payment incompleted</v>
      </c>
    </row>
    <row r="38" spans="1:65" x14ac:dyDescent="0.3">
      <c r="A38" t="s">
        <v>285</v>
      </c>
      <c r="B38" t="s">
        <v>286</v>
      </c>
      <c r="C38" t="s">
        <v>287</v>
      </c>
      <c r="D38" t="s">
        <v>288</v>
      </c>
      <c r="E38" t="s">
        <v>117</v>
      </c>
      <c r="F38" t="s">
        <v>289</v>
      </c>
      <c r="G38">
        <v>92</v>
      </c>
      <c r="H38">
        <v>90</v>
      </c>
      <c r="I38">
        <v>95</v>
      </c>
      <c r="J38">
        <v>92</v>
      </c>
      <c r="K38">
        <v>50000</v>
      </c>
      <c r="L38">
        <v>50000</v>
      </c>
      <c r="M38" t="s">
        <v>290</v>
      </c>
      <c r="N38" t="s">
        <v>22</v>
      </c>
      <c r="O38" t="s">
        <v>291</v>
      </c>
      <c r="P38" t="str">
        <f t="shared" si="0"/>
        <v xml:space="preserve">ASHISH KUMAR  </v>
      </c>
      <c r="Q38" t="str">
        <f t="shared" si="1"/>
        <v>ashish.kumar@mail.in</v>
      </c>
      <c r="R38" t="str">
        <f t="shared" si="2"/>
        <v>Data Science</v>
      </c>
      <c r="S38" t="str">
        <f t="shared" si="3"/>
        <v>ashish KUMAR</v>
      </c>
      <c r="T38" t="str">
        <f t="shared" si="4"/>
        <v xml:space="preserve">  JABALPUR  </v>
      </c>
      <c r="U38" t="str">
        <f t="shared" si="5"/>
        <v>active</v>
      </c>
      <c r="V38" t="str">
        <f t="shared" si="6"/>
        <v>Star Student</v>
      </c>
      <c r="W38" t="str">
        <f t="shared" si="7"/>
        <v>Jabalpur</v>
      </c>
      <c r="X38" t="str">
        <f t="shared" si="8"/>
        <v>STU037</v>
      </c>
      <c r="Y38" t="str">
        <f t="shared" si="9"/>
        <v>Star student</v>
      </c>
      <c r="Z38" t="str">
        <f t="shared" si="10"/>
        <v xml:space="preserve">STU037-ashish KUMAR  </v>
      </c>
      <c r="AA38" t="str">
        <f t="shared" si="11"/>
        <v>ashish KUMAR  -data science</v>
      </c>
      <c r="AB38" t="str">
        <f t="shared" si="12"/>
        <v>ashish.kumar@mail.in|9876543246</v>
      </c>
      <c r="AC38" t="str">
        <f t="shared" si="13"/>
        <v xml:space="preserve">  Jabalpur  , data science</v>
      </c>
      <c r="AD38" t="str">
        <f t="shared" si="14"/>
        <v>Student ID: STU037</v>
      </c>
      <c r="AE38" t="str">
        <f t="shared" si="15"/>
        <v>STU</v>
      </c>
      <c r="AF38" t="str">
        <f t="shared" si="16"/>
        <v>ashish</v>
      </c>
      <c r="AG38" t="str">
        <f t="shared" si="17"/>
        <v>3246</v>
      </c>
      <c r="AH38" t="str">
        <f t="shared" si="18"/>
        <v>037</v>
      </c>
      <c r="AI38" t="str">
        <f t="shared" si="19"/>
        <v>data sc</v>
      </c>
      <c r="AJ38" t="str">
        <f t="shared" si="20"/>
        <v xml:space="preserve">  Jab</v>
      </c>
      <c r="AK38" t="str">
        <f t="shared" si="21"/>
        <v>3246</v>
      </c>
      <c r="AL38" t="str">
        <f t="shared" si="22"/>
        <v>ashish KUM</v>
      </c>
      <c r="AM38" t="str">
        <f t="shared" si="23"/>
        <v>37</v>
      </c>
      <c r="AN38" t="str">
        <f t="shared" si="24"/>
        <v>ashish.k</v>
      </c>
      <c r="AO38">
        <f t="shared" si="25"/>
        <v>277</v>
      </c>
      <c r="AP38">
        <f t="shared" si="26"/>
        <v>92.333333333333329</v>
      </c>
      <c r="AY38" t="str">
        <f t="shared" si="27"/>
        <v>pass</v>
      </c>
      <c r="AZ38" t="str">
        <f t="shared" si="28"/>
        <v>High</v>
      </c>
      <c r="BA38" t="str">
        <f t="shared" si="29"/>
        <v>Paid</v>
      </c>
      <c r="BB38" t="str">
        <f t="shared" si="30"/>
        <v>Good</v>
      </c>
      <c r="BC38" t="str">
        <f t="shared" si="31"/>
        <v>Active student</v>
      </c>
      <c r="BD38" t="str">
        <f t="shared" si="32"/>
        <v>Excellent</v>
      </c>
      <c r="BE38" t="str">
        <f t="shared" si="33"/>
        <v>Grade A</v>
      </c>
      <c r="BF38" t="str">
        <f t="shared" si="34"/>
        <v>Full Paid</v>
      </c>
      <c r="BG38" t="str">
        <f t="shared" si="35"/>
        <v>High</v>
      </c>
      <c r="BH38" t="str">
        <f t="shared" si="36"/>
        <v>Eligible</v>
      </c>
      <c r="BI38" t="str">
        <f t="shared" si="37"/>
        <v>Scholarship</v>
      </c>
      <c r="BJ38" t="str">
        <f t="shared" si="38"/>
        <v>Promoted</v>
      </c>
      <c r="BK38" t="str">
        <f t="shared" si="39"/>
        <v>Good Standing</v>
      </c>
      <c r="BL38" t="str">
        <f t="shared" si="40"/>
        <v>all clear</v>
      </c>
      <c r="BM38" t="str">
        <f t="shared" si="41"/>
        <v>Payment complete</v>
      </c>
    </row>
    <row r="39" spans="1:65" x14ac:dyDescent="0.3">
      <c r="A39" t="s">
        <v>292</v>
      </c>
      <c r="B39" t="s">
        <v>293</v>
      </c>
      <c r="C39" t="s">
        <v>294</v>
      </c>
      <c r="D39" t="s">
        <v>295</v>
      </c>
      <c r="E39" t="s">
        <v>211</v>
      </c>
      <c r="F39" t="s">
        <v>296</v>
      </c>
      <c r="G39">
        <v>70</v>
      </c>
      <c r="H39">
        <v>72</v>
      </c>
      <c r="I39">
        <v>75</v>
      </c>
      <c r="J39">
        <v>70</v>
      </c>
      <c r="K39">
        <v>37000</v>
      </c>
      <c r="L39">
        <v>40000</v>
      </c>
      <c r="M39" t="s">
        <v>297</v>
      </c>
      <c r="N39" t="s">
        <v>40</v>
      </c>
      <c r="O39" t="s">
        <v>298</v>
      </c>
      <c r="P39" t="str">
        <f t="shared" si="0"/>
        <v>REKHA SINGH</v>
      </c>
      <c r="Q39" t="str">
        <f t="shared" si="1"/>
        <v>rekha.singh@email.com</v>
      </c>
      <c r="R39" t="str">
        <f t="shared" si="2"/>
        <v>Web Development</v>
      </c>
      <c r="S39" t="str">
        <f t="shared" si="3"/>
        <v>REKHA singh</v>
      </c>
      <c r="T39" t="str">
        <f t="shared" si="4"/>
        <v>GWALIOR</v>
      </c>
      <c r="U39" t="str">
        <f t="shared" si="5"/>
        <v>active</v>
      </c>
      <c r="V39" t="str">
        <f t="shared" si="6"/>
        <v>Good Effort</v>
      </c>
      <c r="W39" t="str">
        <f t="shared" si="7"/>
        <v>Gwalior</v>
      </c>
      <c r="X39" t="str">
        <f t="shared" si="8"/>
        <v>STU038</v>
      </c>
      <c r="Y39" t="str">
        <f t="shared" si="9"/>
        <v>Good effort</v>
      </c>
      <c r="Z39" t="str">
        <f t="shared" si="10"/>
        <v>stu038-REKHA singh</v>
      </c>
      <c r="AA39" t="str">
        <f t="shared" si="11"/>
        <v>REKHA singh-WEB DEVELOPMENT</v>
      </c>
      <c r="AB39" t="str">
        <f t="shared" si="12"/>
        <v>rekha.singh@email.com|9876543247</v>
      </c>
      <c r="AC39" t="str">
        <f t="shared" si="13"/>
        <v>Gwalior, WEB DEVELOPMENT</v>
      </c>
      <c r="AD39" t="str">
        <f t="shared" si="14"/>
        <v>Student ID: stu038</v>
      </c>
      <c r="AE39" t="str">
        <f t="shared" si="15"/>
        <v>stu</v>
      </c>
      <c r="AF39" t="str">
        <f t="shared" si="16"/>
        <v>rekha.</v>
      </c>
      <c r="AG39" t="str">
        <f t="shared" si="17"/>
        <v>3247</v>
      </c>
      <c r="AH39" t="str">
        <f t="shared" si="18"/>
        <v>038</v>
      </c>
      <c r="AI39" t="str">
        <f t="shared" si="19"/>
        <v>WEB DEV</v>
      </c>
      <c r="AJ39" t="str">
        <f t="shared" si="20"/>
        <v>Gwali</v>
      </c>
      <c r="AK39" t="str">
        <f t="shared" si="21"/>
        <v>3247</v>
      </c>
      <c r="AL39" t="str">
        <f t="shared" si="22"/>
        <v>REKHA sing</v>
      </c>
      <c r="AM39" t="str">
        <f t="shared" si="23"/>
        <v>38</v>
      </c>
      <c r="AN39" t="str">
        <f t="shared" si="24"/>
        <v>rekha.si</v>
      </c>
      <c r="AO39">
        <f t="shared" si="25"/>
        <v>217</v>
      </c>
      <c r="AP39">
        <f t="shared" si="26"/>
        <v>72.333333333333329</v>
      </c>
      <c r="AY39" t="str">
        <f t="shared" si="27"/>
        <v>pass</v>
      </c>
      <c r="AZ39" t="str">
        <f t="shared" si="28"/>
        <v>Low</v>
      </c>
      <c r="BA39" t="str">
        <f t="shared" si="29"/>
        <v>Pending</v>
      </c>
      <c r="BB39" t="str">
        <f t="shared" si="30"/>
        <v>Average</v>
      </c>
      <c r="BC39" t="str">
        <f t="shared" si="31"/>
        <v>Active student</v>
      </c>
      <c r="BD39" t="str">
        <f t="shared" si="32"/>
        <v>Good</v>
      </c>
      <c r="BE39" t="str">
        <f t="shared" si="33"/>
        <v>Grade C</v>
      </c>
      <c r="BF39" t="str">
        <f t="shared" si="34"/>
        <v>Partial</v>
      </c>
      <c r="BG39" t="str">
        <f t="shared" si="35"/>
        <v>Medium</v>
      </c>
      <c r="BH39" t="str">
        <f t="shared" si="36"/>
        <v>Not Eligible</v>
      </c>
      <c r="BI39" t="str">
        <f t="shared" si="37"/>
        <v>No Scholarship</v>
      </c>
      <c r="BJ39" t="str">
        <f t="shared" si="38"/>
        <v>Promoted</v>
      </c>
      <c r="BK39" t="str">
        <f t="shared" si="39"/>
        <v>Good Standing</v>
      </c>
      <c r="BL39" t="str">
        <f t="shared" si="40"/>
        <v>Action needed</v>
      </c>
      <c r="BM39" t="str">
        <f t="shared" si="41"/>
        <v>Payment incompleted</v>
      </c>
    </row>
    <row r="40" spans="1:65" x14ac:dyDescent="0.3">
      <c r="A40" t="s">
        <v>299</v>
      </c>
      <c r="B40" t="s">
        <v>300</v>
      </c>
      <c r="C40" t="s">
        <v>301</v>
      </c>
      <c r="D40" t="s">
        <v>302</v>
      </c>
      <c r="E40" t="s">
        <v>37</v>
      </c>
      <c r="F40" t="s">
        <v>303</v>
      </c>
      <c r="G40">
        <v>80</v>
      </c>
      <c r="H40">
        <v>82</v>
      </c>
      <c r="I40">
        <v>78</v>
      </c>
      <c r="J40">
        <v>80</v>
      </c>
      <c r="K40">
        <v>33000</v>
      </c>
      <c r="L40">
        <v>35000</v>
      </c>
      <c r="M40" t="s">
        <v>304</v>
      </c>
      <c r="N40" t="s">
        <v>31</v>
      </c>
      <c r="O40" t="s">
        <v>305</v>
      </c>
      <c r="P40" t="str">
        <f t="shared" si="0"/>
        <v xml:space="preserve">  MOHIT AGARWAL</v>
      </c>
      <c r="Q40" t="str">
        <f t="shared" si="1"/>
        <v>mohit.agarwal@mail.in</v>
      </c>
      <c r="R40" t="str">
        <f t="shared" si="2"/>
        <v>Digital Marketing</v>
      </c>
      <c r="S40" t="str">
        <f t="shared" si="3"/>
        <v>mohit AGARWAL</v>
      </c>
      <c r="T40" t="str">
        <f t="shared" si="4"/>
        <v xml:space="preserve">  UJJAIN  </v>
      </c>
      <c r="U40" t="str">
        <f t="shared" si="5"/>
        <v>active</v>
      </c>
      <c r="V40" t="str">
        <f t="shared" si="6"/>
        <v xml:space="preserve">  Engaged  </v>
      </c>
      <c r="W40" t="str">
        <f t="shared" si="7"/>
        <v>Ujjain</v>
      </c>
      <c r="X40" t="str">
        <f t="shared" si="8"/>
        <v>STU039</v>
      </c>
      <c r="Y40" t="str">
        <f t="shared" si="9"/>
        <v>Engaged</v>
      </c>
      <c r="Z40" t="str">
        <f t="shared" si="10"/>
        <v>Stu039-  mohit AGARWAL</v>
      </c>
      <c r="AA40" t="str">
        <f t="shared" si="11"/>
        <v xml:space="preserve">  mohit AGARWAL-Digital MARKETING</v>
      </c>
      <c r="AB40" t="str">
        <f t="shared" si="12"/>
        <v>mohit.agarwal@mail.in|9876543248</v>
      </c>
      <c r="AC40" t="str">
        <f t="shared" si="13"/>
        <v xml:space="preserve">  Ujjain  , Digital MARKETING</v>
      </c>
      <c r="AD40" t="str">
        <f t="shared" si="14"/>
        <v>Student ID: Stu039</v>
      </c>
      <c r="AE40" t="str">
        <f t="shared" si="15"/>
        <v>Stu</v>
      </c>
      <c r="AF40" t="str">
        <f t="shared" si="16"/>
        <v>mohit.</v>
      </c>
      <c r="AG40" t="str">
        <f t="shared" si="17"/>
        <v>3248</v>
      </c>
      <c r="AH40" t="str">
        <f t="shared" si="18"/>
        <v>039</v>
      </c>
      <c r="AI40" t="str">
        <f t="shared" si="19"/>
        <v>Digital</v>
      </c>
      <c r="AJ40" t="str">
        <f t="shared" si="20"/>
        <v xml:space="preserve">  Ujj</v>
      </c>
      <c r="AK40" t="str">
        <f t="shared" si="21"/>
        <v>3248</v>
      </c>
      <c r="AL40" t="str">
        <f t="shared" si="22"/>
        <v xml:space="preserve">  mohit AG</v>
      </c>
      <c r="AM40" t="str">
        <f t="shared" si="23"/>
        <v>39</v>
      </c>
      <c r="AN40" t="str">
        <f t="shared" si="24"/>
        <v>mohit.ag</v>
      </c>
      <c r="AO40">
        <f t="shared" si="25"/>
        <v>240</v>
      </c>
      <c r="AP40">
        <f t="shared" si="26"/>
        <v>80</v>
      </c>
      <c r="AY40" t="str">
        <f t="shared" si="27"/>
        <v>pass</v>
      </c>
      <c r="AZ40" t="str">
        <f t="shared" si="28"/>
        <v>High</v>
      </c>
      <c r="BA40" t="str">
        <f t="shared" si="29"/>
        <v>Pending</v>
      </c>
      <c r="BB40" t="str">
        <f t="shared" si="30"/>
        <v>Good</v>
      </c>
      <c r="BC40" t="str">
        <f t="shared" si="31"/>
        <v>Active student</v>
      </c>
      <c r="BD40" t="str">
        <f t="shared" si="32"/>
        <v>Good</v>
      </c>
      <c r="BE40" t="str">
        <f t="shared" si="33"/>
        <v>Grade B</v>
      </c>
      <c r="BF40" t="str">
        <f t="shared" si="34"/>
        <v>Partial</v>
      </c>
      <c r="BG40" t="str">
        <f t="shared" si="35"/>
        <v>Medium</v>
      </c>
      <c r="BH40" t="str">
        <f t="shared" si="36"/>
        <v>Eligible</v>
      </c>
      <c r="BI40" t="str">
        <f t="shared" si="37"/>
        <v>No Scholarship</v>
      </c>
      <c r="BJ40" t="str">
        <f t="shared" si="38"/>
        <v>Promoted</v>
      </c>
      <c r="BK40" t="str">
        <f t="shared" si="39"/>
        <v>Good Standing</v>
      </c>
      <c r="BL40" t="str">
        <f t="shared" si="40"/>
        <v>Action needed</v>
      </c>
      <c r="BM40" t="str">
        <f t="shared" si="41"/>
        <v>Payment incompleted</v>
      </c>
    </row>
    <row r="41" spans="1:65" x14ac:dyDescent="0.3">
      <c r="A41" t="s">
        <v>306</v>
      </c>
      <c r="B41" t="s">
        <v>307</v>
      </c>
      <c r="C41" t="s">
        <v>308</v>
      </c>
      <c r="D41" t="s">
        <v>309</v>
      </c>
      <c r="E41" t="s">
        <v>46</v>
      </c>
      <c r="F41" t="s">
        <v>310</v>
      </c>
      <c r="G41">
        <v>65</v>
      </c>
      <c r="H41">
        <v>68</v>
      </c>
      <c r="I41">
        <v>70</v>
      </c>
      <c r="J41">
        <v>65</v>
      </c>
      <c r="K41">
        <v>28000</v>
      </c>
      <c r="L41">
        <v>35000</v>
      </c>
      <c r="M41" t="s">
        <v>311</v>
      </c>
      <c r="N41" t="s">
        <v>22</v>
      </c>
      <c r="O41" t="s">
        <v>312</v>
      </c>
      <c r="P41" t="str">
        <f t="shared" si="0"/>
        <v xml:space="preserve">KAMINI RAO  </v>
      </c>
      <c r="Q41" t="str">
        <f t="shared" si="1"/>
        <v>kamini_rao@email.com</v>
      </c>
      <c r="R41" t="str">
        <f t="shared" si="2"/>
        <v>Graphic Design</v>
      </c>
      <c r="S41" t="str">
        <f t="shared" si="3"/>
        <v>kamini RAO</v>
      </c>
      <c r="T41" t="str">
        <f t="shared" si="4"/>
        <v>BHILAI</v>
      </c>
      <c r="U41" t="str">
        <f t="shared" si="5"/>
        <v>active</v>
      </c>
      <c r="V41" t="str">
        <f t="shared" si="6"/>
        <v>Satisfactory</v>
      </c>
      <c r="W41" t="str">
        <f t="shared" si="7"/>
        <v>Bhilai</v>
      </c>
      <c r="X41" t="str">
        <f t="shared" si="8"/>
        <v>STU040</v>
      </c>
      <c r="Y41" t="str">
        <f t="shared" si="9"/>
        <v>Satisfactory</v>
      </c>
      <c r="Z41" t="str">
        <f t="shared" si="10"/>
        <v xml:space="preserve">STU040-kamini RAO  </v>
      </c>
      <c r="AA41" t="str">
        <f t="shared" si="11"/>
        <v>kamini RAO  -graphic DESIGN</v>
      </c>
      <c r="AB41" t="str">
        <f t="shared" si="12"/>
        <v>kamini_rao@email.com|9876543249</v>
      </c>
      <c r="AC41" t="str">
        <f t="shared" si="13"/>
        <v>Bhilai, graphic DESIGN</v>
      </c>
      <c r="AD41" t="str">
        <f t="shared" si="14"/>
        <v>Student ID: STU040</v>
      </c>
      <c r="AE41" t="str">
        <f t="shared" si="15"/>
        <v>STU</v>
      </c>
      <c r="AF41" t="str">
        <f t="shared" si="16"/>
        <v>kamini</v>
      </c>
      <c r="AG41" t="str">
        <f t="shared" si="17"/>
        <v>3249</v>
      </c>
      <c r="AH41" t="str">
        <f t="shared" si="18"/>
        <v>040</v>
      </c>
      <c r="AI41" t="str">
        <f t="shared" si="19"/>
        <v>graphic</v>
      </c>
      <c r="AJ41" t="str">
        <f t="shared" si="20"/>
        <v>Bhila</v>
      </c>
      <c r="AK41" t="str">
        <f t="shared" si="21"/>
        <v>3249</v>
      </c>
      <c r="AL41" t="str">
        <f t="shared" si="22"/>
        <v>kamini RAO</v>
      </c>
      <c r="AM41" t="str">
        <f t="shared" si="23"/>
        <v>40</v>
      </c>
      <c r="AN41" t="str">
        <f t="shared" si="24"/>
        <v>kamini_r</v>
      </c>
      <c r="AO41">
        <f t="shared" si="25"/>
        <v>203</v>
      </c>
      <c r="AP41">
        <f t="shared" si="26"/>
        <v>67.666666666666671</v>
      </c>
      <c r="AY41" t="str">
        <f t="shared" si="27"/>
        <v>pass</v>
      </c>
      <c r="AZ41" t="str">
        <f t="shared" si="28"/>
        <v>Low</v>
      </c>
      <c r="BA41" t="str">
        <f t="shared" si="29"/>
        <v>Pending</v>
      </c>
      <c r="BB41" t="str">
        <f t="shared" si="30"/>
        <v>Average</v>
      </c>
      <c r="BC41" t="str">
        <f t="shared" si="31"/>
        <v>Active student</v>
      </c>
      <c r="BD41" t="str">
        <f t="shared" si="32"/>
        <v>Average</v>
      </c>
      <c r="BE41" t="str">
        <f t="shared" si="33"/>
        <v>Grade C</v>
      </c>
      <c r="BF41" t="str">
        <f t="shared" si="34"/>
        <v>Partial</v>
      </c>
      <c r="BG41" t="str">
        <f t="shared" si="35"/>
        <v>Low</v>
      </c>
      <c r="BH41" t="str">
        <f t="shared" si="36"/>
        <v>Not Eligible</v>
      </c>
      <c r="BI41" t="str">
        <f t="shared" si="37"/>
        <v>No Scholarship</v>
      </c>
      <c r="BJ41" t="str">
        <f t="shared" si="38"/>
        <v>Promoted</v>
      </c>
      <c r="BK41" t="str">
        <f t="shared" si="39"/>
        <v>Review</v>
      </c>
      <c r="BL41" t="str">
        <f t="shared" si="40"/>
        <v>Action needed</v>
      </c>
      <c r="BM41" t="str">
        <f t="shared" si="41"/>
        <v>Payment incompleted</v>
      </c>
    </row>
    <row r="42" spans="1:65" x14ac:dyDescent="0.3">
      <c r="A42" t="s">
        <v>313</v>
      </c>
      <c r="B42" t="s">
        <v>314</v>
      </c>
      <c r="C42" t="s">
        <v>315</v>
      </c>
      <c r="D42" t="s">
        <v>316</v>
      </c>
      <c r="E42" t="s">
        <v>19</v>
      </c>
      <c r="F42" t="s">
        <v>317</v>
      </c>
      <c r="G42">
        <v>85</v>
      </c>
      <c r="H42">
        <v>88</v>
      </c>
      <c r="I42">
        <v>90</v>
      </c>
      <c r="J42">
        <v>85</v>
      </c>
      <c r="K42">
        <v>47000</v>
      </c>
      <c r="L42">
        <v>50000</v>
      </c>
      <c r="M42" t="s">
        <v>318</v>
      </c>
      <c r="N42" t="s">
        <v>40</v>
      </c>
      <c r="O42" t="s">
        <v>319</v>
      </c>
      <c r="P42" t="str">
        <f t="shared" si="0"/>
        <v>AJAY MALHOTRA</v>
      </c>
      <c r="Q42" t="str">
        <f t="shared" si="1"/>
        <v>ajay.malhotra@mail.in</v>
      </c>
      <c r="R42" t="str">
        <f t="shared" si="2"/>
        <v>Data Science</v>
      </c>
      <c r="S42" t="str">
        <f t="shared" si="3"/>
        <v>AJAY malhotra</v>
      </c>
      <c r="T42" t="str">
        <f t="shared" si="4"/>
        <v xml:space="preserve">  BILASPUR  </v>
      </c>
      <c r="U42" t="str">
        <f t="shared" si="5"/>
        <v>active</v>
      </c>
      <c r="V42" t="str">
        <f t="shared" si="6"/>
        <v>Very Dedicated</v>
      </c>
      <c r="W42" t="str">
        <f t="shared" si="7"/>
        <v>Bilaspur</v>
      </c>
      <c r="X42" t="str">
        <f t="shared" si="8"/>
        <v>STU041</v>
      </c>
      <c r="Y42" t="str">
        <f t="shared" si="9"/>
        <v>Very dedicated</v>
      </c>
      <c r="Z42" t="str">
        <f t="shared" si="10"/>
        <v>stu041-AJAY malhotra</v>
      </c>
      <c r="AA42" t="str">
        <f t="shared" si="11"/>
        <v>AJAY malhotra-DATA science</v>
      </c>
      <c r="AB42" t="str">
        <f t="shared" si="12"/>
        <v>ajay.malhotra@mail.in|9876543250</v>
      </c>
      <c r="AC42" t="str">
        <f t="shared" si="13"/>
        <v xml:space="preserve">  Bilaspur  , DATA science</v>
      </c>
      <c r="AD42" t="str">
        <f t="shared" si="14"/>
        <v>Student ID: stu041</v>
      </c>
      <c r="AE42" t="str">
        <f t="shared" si="15"/>
        <v>stu</v>
      </c>
      <c r="AF42" t="str">
        <f t="shared" si="16"/>
        <v>ajay.m</v>
      </c>
      <c r="AG42" t="str">
        <f t="shared" si="17"/>
        <v>3250</v>
      </c>
      <c r="AH42" t="str">
        <f t="shared" si="18"/>
        <v>041</v>
      </c>
      <c r="AI42" t="str">
        <f t="shared" si="19"/>
        <v>DATA sc</v>
      </c>
      <c r="AJ42" t="str">
        <f t="shared" si="20"/>
        <v xml:space="preserve">  Bil</v>
      </c>
      <c r="AK42" t="str">
        <f t="shared" si="21"/>
        <v>3250</v>
      </c>
      <c r="AL42" t="str">
        <f t="shared" si="22"/>
        <v>AJAY malho</v>
      </c>
      <c r="AM42" t="str">
        <f t="shared" si="23"/>
        <v>41</v>
      </c>
      <c r="AN42" t="str">
        <f t="shared" si="24"/>
        <v>ajay.mal</v>
      </c>
      <c r="AO42">
        <f t="shared" si="25"/>
        <v>263</v>
      </c>
      <c r="AP42">
        <f t="shared" si="26"/>
        <v>87.666666666666671</v>
      </c>
      <c r="AY42" t="str">
        <f t="shared" si="27"/>
        <v>pass</v>
      </c>
      <c r="AZ42" t="str">
        <f t="shared" si="28"/>
        <v>High</v>
      </c>
      <c r="BA42" t="str">
        <f t="shared" si="29"/>
        <v>Pending</v>
      </c>
      <c r="BB42" t="str">
        <f t="shared" si="30"/>
        <v>Good</v>
      </c>
      <c r="BC42" t="str">
        <f t="shared" si="31"/>
        <v>Active student</v>
      </c>
      <c r="BD42" t="str">
        <f t="shared" si="32"/>
        <v>Excellent</v>
      </c>
      <c r="BE42" t="str">
        <f t="shared" si="33"/>
        <v>Grade B</v>
      </c>
      <c r="BF42" t="str">
        <f t="shared" si="34"/>
        <v>Partial</v>
      </c>
      <c r="BG42" t="str">
        <f t="shared" si="35"/>
        <v>Low</v>
      </c>
      <c r="BH42" t="str">
        <f t="shared" si="36"/>
        <v>Eligible</v>
      </c>
      <c r="BI42" t="str">
        <f t="shared" si="37"/>
        <v>No Scholarship</v>
      </c>
      <c r="BJ42" t="str">
        <f t="shared" si="38"/>
        <v>Promoted</v>
      </c>
      <c r="BK42" t="str">
        <f t="shared" si="39"/>
        <v>Good Standing</v>
      </c>
      <c r="BL42" t="str">
        <f t="shared" si="40"/>
        <v>Action needed</v>
      </c>
      <c r="BM42" t="str">
        <f t="shared" si="41"/>
        <v>Payment incompleted</v>
      </c>
    </row>
    <row r="43" spans="1:65" x14ac:dyDescent="0.3">
      <c r="A43" t="s">
        <v>320</v>
      </c>
      <c r="B43" t="s">
        <v>321</v>
      </c>
      <c r="C43" t="s">
        <v>322</v>
      </c>
      <c r="D43" t="s">
        <v>323</v>
      </c>
      <c r="E43" t="s">
        <v>28</v>
      </c>
      <c r="F43" t="s">
        <v>324</v>
      </c>
      <c r="G43">
        <v>72</v>
      </c>
      <c r="H43">
        <v>75</v>
      </c>
      <c r="I43">
        <v>70</v>
      </c>
      <c r="J43">
        <v>72</v>
      </c>
      <c r="K43">
        <v>38000</v>
      </c>
      <c r="L43">
        <v>40000</v>
      </c>
      <c r="M43" t="s">
        <v>325</v>
      </c>
      <c r="N43" t="s">
        <v>31</v>
      </c>
      <c r="O43" t="s">
        <v>326</v>
      </c>
      <c r="P43" t="str">
        <f t="shared" si="0"/>
        <v xml:space="preserve">  LATA SHARMA</v>
      </c>
      <c r="Q43" t="str">
        <f t="shared" si="1"/>
        <v>lata.sharma@email.com</v>
      </c>
      <c r="R43" t="str">
        <f t="shared" si="2"/>
        <v>Web Development</v>
      </c>
      <c r="S43" t="str">
        <f t="shared" si="3"/>
        <v>lata SHARMA</v>
      </c>
      <c r="T43" t="str">
        <f t="shared" si="4"/>
        <v>KORBA</v>
      </c>
      <c r="U43" t="str">
        <f t="shared" si="5"/>
        <v>active</v>
      </c>
      <c r="V43" t="str">
        <f t="shared" si="6"/>
        <v xml:space="preserve">  Making Progress  </v>
      </c>
      <c r="W43" t="str">
        <f t="shared" si="7"/>
        <v>Korba</v>
      </c>
      <c r="X43" t="str">
        <f t="shared" si="8"/>
        <v>STU042</v>
      </c>
      <c r="Y43" t="str">
        <f t="shared" si="9"/>
        <v>Making progress</v>
      </c>
      <c r="Z43" t="str">
        <f t="shared" si="10"/>
        <v>Stu042-  lata SHARMA</v>
      </c>
      <c r="AA43" t="str">
        <f t="shared" si="11"/>
        <v xml:space="preserve">  lata SHARMA-web DEVELOPMENT</v>
      </c>
      <c r="AB43" t="str">
        <f t="shared" si="12"/>
        <v>lata.sharma@email.com|9876543251</v>
      </c>
      <c r="AC43" t="str">
        <f t="shared" si="13"/>
        <v>Korba, web DEVELOPMENT</v>
      </c>
      <c r="AD43" t="str">
        <f t="shared" si="14"/>
        <v>Student ID: Stu042</v>
      </c>
      <c r="AE43" t="str">
        <f t="shared" si="15"/>
        <v>Stu</v>
      </c>
      <c r="AF43" t="str">
        <f t="shared" si="16"/>
        <v>lata.s</v>
      </c>
      <c r="AG43" t="str">
        <f t="shared" si="17"/>
        <v>3251</v>
      </c>
      <c r="AH43" t="str">
        <f t="shared" si="18"/>
        <v>042</v>
      </c>
      <c r="AI43" t="str">
        <f t="shared" si="19"/>
        <v>web DEV</v>
      </c>
      <c r="AJ43" t="str">
        <f t="shared" si="20"/>
        <v>Korba</v>
      </c>
      <c r="AK43" t="str">
        <f t="shared" si="21"/>
        <v>3251</v>
      </c>
      <c r="AL43" t="str">
        <f t="shared" si="22"/>
        <v xml:space="preserve">  lata SHA</v>
      </c>
      <c r="AM43" t="str">
        <f t="shared" si="23"/>
        <v>42</v>
      </c>
      <c r="AN43" t="str">
        <f t="shared" si="24"/>
        <v>lata.sha</v>
      </c>
      <c r="AO43">
        <f t="shared" si="25"/>
        <v>217</v>
      </c>
      <c r="AP43">
        <f t="shared" si="26"/>
        <v>72.333333333333329</v>
      </c>
      <c r="AY43" t="str">
        <f t="shared" si="27"/>
        <v>pass</v>
      </c>
      <c r="AZ43" t="str">
        <f t="shared" si="28"/>
        <v>Low</v>
      </c>
      <c r="BA43" t="str">
        <f t="shared" si="29"/>
        <v>Pending</v>
      </c>
      <c r="BB43" t="str">
        <f t="shared" si="30"/>
        <v>Average</v>
      </c>
      <c r="BC43" t="str">
        <f t="shared" si="31"/>
        <v>Active student</v>
      </c>
      <c r="BD43" t="str">
        <f t="shared" si="32"/>
        <v>Good</v>
      </c>
      <c r="BE43" t="str">
        <f t="shared" si="33"/>
        <v>Grade C</v>
      </c>
      <c r="BF43" t="str">
        <f t="shared" si="34"/>
        <v>Partial</v>
      </c>
      <c r="BG43" t="str">
        <f t="shared" si="35"/>
        <v>Medium</v>
      </c>
      <c r="BH43" t="str">
        <f t="shared" si="36"/>
        <v>Not Eligible</v>
      </c>
      <c r="BI43" t="str">
        <f t="shared" si="37"/>
        <v>No Scholarship</v>
      </c>
      <c r="BJ43" t="str">
        <f t="shared" si="38"/>
        <v>Promoted</v>
      </c>
      <c r="BK43" t="str">
        <f t="shared" si="39"/>
        <v>Good Standing</v>
      </c>
      <c r="BL43" t="str">
        <f t="shared" si="40"/>
        <v>Action needed</v>
      </c>
      <c r="BM43" t="str">
        <f t="shared" si="41"/>
        <v>Payment incompleted</v>
      </c>
    </row>
    <row r="44" spans="1:65" x14ac:dyDescent="0.3">
      <c r="A44" t="s">
        <v>327</v>
      </c>
      <c r="B44" t="s">
        <v>328</v>
      </c>
      <c r="C44" t="s">
        <v>329</v>
      </c>
      <c r="D44" t="s">
        <v>330</v>
      </c>
      <c r="E44" t="s">
        <v>102</v>
      </c>
      <c r="F44" t="s">
        <v>331</v>
      </c>
      <c r="G44">
        <v>78</v>
      </c>
      <c r="H44">
        <v>80</v>
      </c>
      <c r="I44">
        <v>82</v>
      </c>
      <c r="J44">
        <v>78</v>
      </c>
      <c r="K44">
        <v>32000</v>
      </c>
      <c r="L44">
        <v>35000</v>
      </c>
      <c r="M44" t="s">
        <v>332</v>
      </c>
      <c r="N44" t="s">
        <v>49</v>
      </c>
      <c r="O44" t="s">
        <v>333</v>
      </c>
      <c r="P44" t="str">
        <f t="shared" si="0"/>
        <v xml:space="preserve">NAVEEN KUMAR  </v>
      </c>
      <c r="Q44" t="str">
        <f t="shared" si="1"/>
        <v>naveen.kumar@mail.in</v>
      </c>
      <c r="R44" t="str">
        <f t="shared" si="2"/>
        <v>Digital Marketing</v>
      </c>
      <c r="S44" t="str">
        <f t="shared" si="3"/>
        <v>naveen KUMAR</v>
      </c>
      <c r="T44" t="str">
        <f t="shared" si="4"/>
        <v xml:space="preserve">  ROURKELA  </v>
      </c>
      <c r="U44" t="str">
        <f t="shared" si="5"/>
        <v>inactive</v>
      </c>
      <c r="V44" t="str">
        <f t="shared" si="6"/>
        <v>Fee Balance</v>
      </c>
      <c r="W44" t="str">
        <f t="shared" si="7"/>
        <v>Rourkela</v>
      </c>
      <c r="X44" t="str">
        <f t="shared" si="8"/>
        <v>STU043</v>
      </c>
      <c r="Y44" t="str">
        <f t="shared" si="9"/>
        <v>Fee balance</v>
      </c>
      <c r="Z44" t="str">
        <f t="shared" si="10"/>
        <v xml:space="preserve">STU043-naveen KUMAR  </v>
      </c>
      <c r="AA44" t="str">
        <f t="shared" si="11"/>
        <v>naveen KUMAR  -DIGITAL marketing</v>
      </c>
      <c r="AB44" t="str">
        <f t="shared" si="12"/>
        <v>naveen.kumar@mail.in|9876543252</v>
      </c>
      <c r="AC44" t="str">
        <f t="shared" si="13"/>
        <v xml:space="preserve">  Rourkela  , DIGITAL marketing</v>
      </c>
      <c r="AD44" t="str">
        <f t="shared" si="14"/>
        <v>Student ID: STU043</v>
      </c>
      <c r="AE44" t="str">
        <f t="shared" si="15"/>
        <v>STU</v>
      </c>
      <c r="AF44" t="str">
        <f t="shared" si="16"/>
        <v>naveen</v>
      </c>
      <c r="AG44" t="str">
        <f t="shared" si="17"/>
        <v>3252</v>
      </c>
      <c r="AH44" t="str">
        <f t="shared" si="18"/>
        <v>043</v>
      </c>
      <c r="AI44" t="str">
        <f t="shared" si="19"/>
        <v>DIGITAL</v>
      </c>
      <c r="AJ44" t="str">
        <f t="shared" si="20"/>
        <v xml:space="preserve">  Rou</v>
      </c>
      <c r="AK44" t="str">
        <f t="shared" si="21"/>
        <v>3252</v>
      </c>
      <c r="AL44" t="str">
        <f t="shared" si="22"/>
        <v>naveen KUM</v>
      </c>
      <c r="AM44" t="str">
        <f t="shared" si="23"/>
        <v>43</v>
      </c>
      <c r="AN44" t="str">
        <f t="shared" si="24"/>
        <v>naveen.k</v>
      </c>
      <c r="AO44">
        <f t="shared" si="25"/>
        <v>240</v>
      </c>
      <c r="AP44">
        <f t="shared" si="26"/>
        <v>80</v>
      </c>
      <c r="AY44" t="str">
        <f t="shared" si="27"/>
        <v>pass</v>
      </c>
      <c r="AZ44" t="str">
        <f t="shared" si="28"/>
        <v>Low</v>
      </c>
      <c r="BA44" t="str">
        <f t="shared" si="29"/>
        <v>Pending</v>
      </c>
      <c r="BB44" t="str">
        <f t="shared" si="30"/>
        <v>Good</v>
      </c>
      <c r="BC44" t="str">
        <f t="shared" si="31"/>
        <v>Inactive student</v>
      </c>
      <c r="BD44" t="str">
        <f t="shared" si="32"/>
        <v>Good</v>
      </c>
      <c r="BE44" t="str">
        <f t="shared" si="33"/>
        <v>Grade B</v>
      </c>
      <c r="BF44" t="str">
        <f t="shared" si="34"/>
        <v>Partial</v>
      </c>
      <c r="BG44" t="str">
        <f t="shared" si="35"/>
        <v>Medium</v>
      </c>
      <c r="BH44" t="str">
        <f t="shared" si="36"/>
        <v>Eligible</v>
      </c>
      <c r="BI44" t="str">
        <f t="shared" si="37"/>
        <v>No Scholarship</v>
      </c>
      <c r="BJ44" t="str">
        <f t="shared" si="38"/>
        <v>Promoted</v>
      </c>
      <c r="BK44" t="str">
        <f t="shared" si="39"/>
        <v>Good Standing</v>
      </c>
      <c r="BL44" t="str">
        <f t="shared" si="40"/>
        <v>Action needed</v>
      </c>
      <c r="BM44" t="str">
        <f t="shared" si="41"/>
        <v>Payment incompleted</v>
      </c>
    </row>
    <row r="45" spans="1:65" x14ac:dyDescent="0.3">
      <c r="A45" t="s">
        <v>334</v>
      </c>
      <c r="B45" t="s">
        <v>335</v>
      </c>
      <c r="C45" t="s">
        <v>336</v>
      </c>
      <c r="D45" t="s">
        <v>337</v>
      </c>
      <c r="E45" t="s">
        <v>46</v>
      </c>
      <c r="F45" t="s">
        <v>338</v>
      </c>
      <c r="G45">
        <v>68</v>
      </c>
      <c r="H45">
        <v>70</v>
      </c>
      <c r="I45">
        <v>72</v>
      </c>
      <c r="J45">
        <v>68</v>
      </c>
      <c r="K45">
        <v>29000</v>
      </c>
      <c r="L45">
        <v>35000</v>
      </c>
      <c r="M45" t="s">
        <v>339</v>
      </c>
      <c r="N45" t="s">
        <v>22</v>
      </c>
      <c r="O45" t="s">
        <v>340</v>
      </c>
      <c r="P45" t="str">
        <f t="shared" si="0"/>
        <v>PALLAVI IYER</v>
      </c>
      <c r="Q45" t="str">
        <f t="shared" si="1"/>
        <v>pallavi.iyer@email.com</v>
      </c>
      <c r="R45" t="str">
        <f t="shared" si="2"/>
        <v>Graphic Design</v>
      </c>
      <c r="S45" t="str">
        <f t="shared" si="3"/>
        <v>PALLAVI iyer</v>
      </c>
      <c r="T45" t="str">
        <f t="shared" si="4"/>
        <v>CUTTACK</v>
      </c>
      <c r="U45" t="str">
        <f t="shared" si="5"/>
        <v>active</v>
      </c>
      <c r="V45" t="str">
        <f t="shared" si="6"/>
        <v>Moderate</v>
      </c>
      <c r="W45" t="str">
        <f t="shared" si="7"/>
        <v>Cuttack</v>
      </c>
      <c r="X45" t="str">
        <f t="shared" si="8"/>
        <v>STU043</v>
      </c>
      <c r="Y45" t="str">
        <f t="shared" si="9"/>
        <v>Moderate</v>
      </c>
      <c r="Z45" t="str">
        <f t="shared" si="10"/>
        <v>stu043-PALLAVI iyer</v>
      </c>
      <c r="AA45" t="str">
        <f t="shared" si="11"/>
        <v>PALLAVI iyer-graphic DESIGN</v>
      </c>
      <c r="AB45" t="str">
        <f t="shared" si="12"/>
        <v>pallavi.iyer@email.com|9876543253</v>
      </c>
      <c r="AC45" t="str">
        <f t="shared" si="13"/>
        <v>Cuttack, graphic DESIGN</v>
      </c>
      <c r="AD45" t="str">
        <f t="shared" si="14"/>
        <v>Student ID: stu043</v>
      </c>
      <c r="AE45" t="str">
        <f t="shared" si="15"/>
        <v>stu</v>
      </c>
      <c r="AF45" t="str">
        <f t="shared" si="16"/>
        <v>pallav</v>
      </c>
      <c r="AG45" t="str">
        <f t="shared" si="17"/>
        <v>3253</v>
      </c>
      <c r="AH45" t="str">
        <f t="shared" si="18"/>
        <v>043</v>
      </c>
      <c r="AI45" t="str">
        <f t="shared" si="19"/>
        <v>graphic</v>
      </c>
      <c r="AJ45" t="str">
        <f t="shared" si="20"/>
        <v>Cutta</v>
      </c>
      <c r="AK45" t="str">
        <f t="shared" si="21"/>
        <v>3253</v>
      </c>
      <c r="AL45" t="str">
        <f t="shared" si="22"/>
        <v>PALLAVI iy</v>
      </c>
      <c r="AM45" t="str">
        <f t="shared" si="23"/>
        <v>43</v>
      </c>
      <c r="AN45" t="str">
        <f t="shared" si="24"/>
        <v>pallavi.</v>
      </c>
      <c r="AO45">
        <f t="shared" si="25"/>
        <v>210</v>
      </c>
      <c r="AP45">
        <f t="shared" si="26"/>
        <v>70</v>
      </c>
      <c r="AY45" t="str">
        <f t="shared" si="27"/>
        <v>pass</v>
      </c>
      <c r="AZ45" t="str">
        <f t="shared" si="28"/>
        <v>Low</v>
      </c>
      <c r="BA45" t="str">
        <f t="shared" si="29"/>
        <v>Pending</v>
      </c>
      <c r="BB45" t="str">
        <f t="shared" si="30"/>
        <v>Average</v>
      </c>
      <c r="BC45" t="str">
        <f t="shared" si="31"/>
        <v>Active student</v>
      </c>
      <c r="BD45" t="str">
        <f t="shared" si="32"/>
        <v>Good</v>
      </c>
      <c r="BE45" t="str">
        <f t="shared" si="33"/>
        <v>Grade C</v>
      </c>
      <c r="BF45" t="str">
        <f t="shared" si="34"/>
        <v>Partial</v>
      </c>
      <c r="BG45" t="str">
        <f t="shared" si="35"/>
        <v>Low</v>
      </c>
      <c r="BH45" t="str">
        <f t="shared" si="36"/>
        <v>Not Eligible</v>
      </c>
      <c r="BI45" t="str">
        <f t="shared" si="37"/>
        <v>No Scholarship</v>
      </c>
      <c r="BJ45" t="str">
        <f t="shared" si="38"/>
        <v>Promoted</v>
      </c>
      <c r="BK45" t="str">
        <f t="shared" si="39"/>
        <v>Review</v>
      </c>
      <c r="BL45" t="str">
        <f t="shared" si="40"/>
        <v>Action needed</v>
      </c>
      <c r="BM45" t="str">
        <f t="shared" si="41"/>
        <v>Payment incompleted</v>
      </c>
    </row>
    <row r="46" spans="1:65" x14ac:dyDescent="0.3">
      <c r="A46" t="s">
        <v>341</v>
      </c>
      <c r="B46" t="s">
        <v>342</v>
      </c>
      <c r="C46" t="s">
        <v>343</v>
      </c>
      <c r="D46" t="s">
        <v>344</v>
      </c>
      <c r="E46" t="s">
        <v>87</v>
      </c>
      <c r="F46" t="s">
        <v>345</v>
      </c>
      <c r="G46">
        <v>90</v>
      </c>
      <c r="H46">
        <v>88</v>
      </c>
      <c r="I46">
        <v>92</v>
      </c>
      <c r="J46">
        <v>90</v>
      </c>
      <c r="K46">
        <v>49000</v>
      </c>
      <c r="L46">
        <v>50000</v>
      </c>
      <c r="M46" t="s">
        <v>346</v>
      </c>
      <c r="N46" t="s">
        <v>40</v>
      </c>
      <c r="O46" t="s">
        <v>347</v>
      </c>
      <c r="P46" t="str">
        <f t="shared" si="0"/>
        <v xml:space="preserve">  SACHIN JOSHI</v>
      </c>
      <c r="Q46" t="str">
        <f t="shared" si="1"/>
        <v>sachin_joshi@mail.in</v>
      </c>
      <c r="R46" t="str">
        <f t="shared" si="2"/>
        <v>Data Science</v>
      </c>
      <c r="S46" t="str">
        <f t="shared" si="3"/>
        <v>sachin JOSHI</v>
      </c>
      <c r="T46" t="str">
        <f t="shared" si="4"/>
        <v xml:space="preserve">  BHUBANESWAR  </v>
      </c>
      <c r="U46" t="str">
        <f t="shared" si="5"/>
        <v>active</v>
      </c>
      <c r="V46" t="str">
        <f t="shared" si="6"/>
        <v>Brilliant Student</v>
      </c>
      <c r="W46" t="str">
        <f t="shared" si="7"/>
        <v>Bhubaneswar</v>
      </c>
      <c r="X46" t="str">
        <f t="shared" si="8"/>
        <v>STU045</v>
      </c>
      <c r="Y46" t="str">
        <f t="shared" si="9"/>
        <v>Brilliant student</v>
      </c>
      <c r="Z46" t="str">
        <f t="shared" si="10"/>
        <v>Stu045-  sachin JOSHI</v>
      </c>
      <c r="AA46" t="str">
        <f t="shared" si="11"/>
        <v xml:space="preserve">  sachin JOSHI-Data SCIENCE</v>
      </c>
      <c r="AB46" t="str">
        <f t="shared" si="12"/>
        <v>sachin_joshi@mail.in|9876543254</v>
      </c>
      <c r="AC46" t="str">
        <f t="shared" si="13"/>
        <v xml:space="preserve">  Bhubaneswar  , Data SCIENCE</v>
      </c>
      <c r="AD46" t="str">
        <f t="shared" si="14"/>
        <v>Student ID: Stu045</v>
      </c>
      <c r="AE46" t="str">
        <f t="shared" si="15"/>
        <v>Stu</v>
      </c>
      <c r="AF46" t="str">
        <f t="shared" si="16"/>
        <v>sachin</v>
      </c>
      <c r="AG46" t="str">
        <f t="shared" si="17"/>
        <v>3254</v>
      </c>
      <c r="AH46" t="str">
        <f t="shared" si="18"/>
        <v>045</v>
      </c>
      <c r="AI46" t="str">
        <f t="shared" si="19"/>
        <v>Data SC</v>
      </c>
      <c r="AJ46" t="str">
        <f t="shared" si="20"/>
        <v xml:space="preserve">  Bhu</v>
      </c>
      <c r="AK46" t="str">
        <f t="shared" si="21"/>
        <v>3254</v>
      </c>
      <c r="AL46" t="str">
        <f t="shared" si="22"/>
        <v xml:space="preserve">  sachin J</v>
      </c>
      <c r="AM46" t="str">
        <f t="shared" si="23"/>
        <v>45</v>
      </c>
      <c r="AN46" t="str">
        <f t="shared" si="24"/>
        <v>sachin_j</v>
      </c>
      <c r="AO46">
        <f t="shared" si="25"/>
        <v>270</v>
      </c>
      <c r="AP46">
        <f t="shared" si="26"/>
        <v>90</v>
      </c>
      <c r="AY46" t="str">
        <f t="shared" si="27"/>
        <v>pass</v>
      </c>
      <c r="AZ46" t="str">
        <f t="shared" si="28"/>
        <v>High</v>
      </c>
      <c r="BA46" t="str">
        <f t="shared" si="29"/>
        <v>Pending</v>
      </c>
      <c r="BB46" t="str">
        <f t="shared" si="30"/>
        <v>Good</v>
      </c>
      <c r="BC46" t="str">
        <f t="shared" si="31"/>
        <v>Active student</v>
      </c>
      <c r="BD46" t="str">
        <f t="shared" si="32"/>
        <v>Excellent</v>
      </c>
      <c r="BE46" t="str">
        <f t="shared" si="33"/>
        <v>Grade B</v>
      </c>
      <c r="BF46" t="str">
        <f t="shared" si="34"/>
        <v>Partial</v>
      </c>
      <c r="BG46" t="str">
        <f t="shared" si="35"/>
        <v>High</v>
      </c>
      <c r="BH46" t="str">
        <f t="shared" si="36"/>
        <v>Eligible</v>
      </c>
      <c r="BI46" t="str">
        <f t="shared" si="37"/>
        <v>No Scholarship</v>
      </c>
      <c r="BJ46" t="str">
        <f t="shared" si="38"/>
        <v>Promoted</v>
      </c>
      <c r="BK46" t="str">
        <f t="shared" si="39"/>
        <v>Good Standing</v>
      </c>
      <c r="BL46" t="str">
        <f t="shared" si="40"/>
        <v>Action needed</v>
      </c>
      <c r="BM46" t="str">
        <f t="shared" si="41"/>
        <v>Payment incompleted</v>
      </c>
    </row>
    <row r="47" spans="1:65" x14ac:dyDescent="0.3">
      <c r="A47" t="s">
        <v>348</v>
      </c>
      <c r="B47" t="s">
        <v>349</v>
      </c>
      <c r="C47" t="s">
        <v>350</v>
      </c>
      <c r="D47" t="s">
        <v>351</v>
      </c>
      <c r="E47" t="s">
        <v>62</v>
      </c>
      <c r="F47" t="s">
        <v>352</v>
      </c>
      <c r="G47">
        <v>70</v>
      </c>
      <c r="H47">
        <v>72</v>
      </c>
      <c r="I47">
        <v>68</v>
      </c>
      <c r="J47">
        <v>70</v>
      </c>
      <c r="K47">
        <v>37000</v>
      </c>
      <c r="L47">
        <v>40000</v>
      </c>
      <c r="M47" t="s">
        <v>353</v>
      </c>
      <c r="N47" t="s">
        <v>31</v>
      </c>
      <c r="O47" t="s">
        <v>354</v>
      </c>
      <c r="P47" t="str">
        <f t="shared" si="0"/>
        <v xml:space="preserve">KOMAL GUPTA  </v>
      </c>
      <c r="Q47" t="str">
        <f t="shared" si="1"/>
        <v>komal.gupta@email.com</v>
      </c>
      <c r="R47" t="str">
        <f t="shared" si="2"/>
        <v>Web Development</v>
      </c>
      <c r="S47" t="str">
        <f t="shared" si="3"/>
        <v>komal GUPTA</v>
      </c>
      <c r="T47" t="str">
        <f t="shared" si="4"/>
        <v>SILIGURI</v>
      </c>
      <c r="U47" t="str">
        <f t="shared" si="5"/>
        <v>active</v>
      </c>
      <c r="V47" t="str">
        <f t="shared" si="6"/>
        <v xml:space="preserve">  Average Marks  </v>
      </c>
      <c r="W47" t="str">
        <f t="shared" si="7"/>
        <v>Siliguri</v>
      </c>
      <c r="X47" t="str">
        <f t="shared" si="8"/>
        <v>STU046</v>
      </c>
      <c r="Y47" t="str">
        <f t="shared" si="9"/>
        <v>Average marks</v>
      </c>
      <c r="Z47" t="str">
        <f t="shared" si="10"/>
        <v xml:space="preserve">STU046-komal GUPTA  </v>
      </c>
      <c r="AA47" t="str">
        <f t="shared" si="11"/>
        <v>komal GUPTA  -WEB development</v>
      </c>
      <c r="AB47" t="str">
        <f t="shared" si="12"/>
        <v>komal.gupta@email.com|9876543255</v>
      </c>
      <c r="AC47" t="str">
        <f t="shared" si="13"/>
        <v>Siliguri, WEB development</v>
      </c>
      <c r="AD47" t="str">
        <f t="shared" si="14"/>
        <v>Student ID: STU046</v>
      </c>
      <c r="AE47" t="str">
        <f t="shared" si="15"/>
        <v>STU</v>
      </c>
      <c r="AF47" t="str">
        <f t="shared" si="16"/>
        <v>komal.</v>
      </c>
      <c r="AG47" t="str">
        <f t="shared" si="17"/>
        <v>3255</v>
      </c>
      <c r="AH47" t="str">
        <f t="shared" si="18"/>
        <v>046</v>
      </c>
      <c r="AI47" t="str">
        <f t="shared" si="19"/>
        <v>WEB dev</v>
      </c>
      <c r="AJ47" t="str">
        <f t="shared" si="20"/>
        <v>Silig</v>
      </c>
      <c r="AK47" t="str">
        <f t="shared" si="21"/>
        <v>3255</v>
      </c>
      <c r="AL47" t="str">
        <f t="shared" si="22"/>
        <v>komal GUPT</v>
      </c>
      <c r="AM47" t="str">
        <f t="shared" si="23"/>
        <v>46</v>
      </c>
      <c r="AN47" t="str">
        <f t="shared" si="24"/>
        <v>komal.gu</v>
      </c>
      <c r="AO47">
        <f t="shared" si="25"/>
        <v>210</v>
      </c>
      <c r="AP47">
        <f t="shared" si="26"/>
        <v>70</v>
      </c>
      <c r="AY47" t="str">
        <f t="shared" si="27"/>
        <v>pass</v>
      </c>
      <c r="AZ47" t="str">
        <f t="shared" si="28"/>
        <v>Low</v>
      </c>
      <c r="BA47" t="str">
        <f t="shared" si="29"/>
        <v>Pending</v>
      </c>
      <c r="BB47" t="str">
        <f t="shared" si="30"/>
        <v>Average</v>
      </c>
      <c r="BC47" t="str">
        <f t="shared" si="31"/>
        <v>Active student</v>
      </c>
      <c r="BD47" t="str">
        <f t="shared" si="32"/>
        <v>Good</v>
      </c>
      <c r="BE47" t="str">
        <f t="shared" si="33"/>
        <v>Grade C</v>
      </c>
      <c r="BF47" t="str">
        <f t="shared" si="34"/>
        <v>Partial</v>
      </c>
      <c r="BG47" t="str">
        <f t="shared" si="35"/>
        <v>Medium</v>
      </c>
      <c r="BH47" t="str">
        <f t="shared" si="36"/>
        <v>Not Eligible</v>
      </c>
      <c r="BI47" t="str">
        <f t="shared" si="37"/>
        <v>No Scholarship</v>
      </c>
      <c r="BJ47" t="str">
        <f t="shared" si="38"/>
        <v>Promoted</v>
      </c>
      <c r="BK47" t="str">
        <f t="shared" si="39"/>
        <v>Good Standing</v>
      </c>
      <c r="BL47" t="str">
        <f t="shared" si="40"/>
        <v>Action needed</v>
      </c>
      <c r="BM47" t="str">
        <f t="shared" si="41"/>
        <v>Payment incompleted</v>
      </c>
    </row>
    <row r="48" spans="1:65" x14ac:dyDescent="0.3">
      <c r="A48" t="s">
        <v>355</v>
      </c>
      <c r="B48" t="s">
        <v>356</v>
      </c>
      <c r="C48" t="s">
        <v>357</v>
      </c>
      <c r="D48" t="s">
        <v>358</v>
      </c>
      <c r="E48" t="s">
        <v>189</v>
      </c>
      <c r="F48" t="s">
        <v>359</v>
      </c>
      <c r="G48">
        <v>75</v>
      </c>
      <c r="H48">
        <v>78</v>
      </c>
      <c r="I48">
        <v>80</v>
      </c>
      <c r="J48">
        <v>75</v>
      </c>
      <c r="K48">
        <v>32000</v>
      </c>
      <c r="L48">
        <v>35000</v>
      </c>
      <c r="M48" t="s">
        <v>360</v>
      </c>
      <c r="N48" t="s">
        <v>22</v>
      </c>
      <c r="O48" t="s">
        <v>361</v>
      </c>
      <c r="P48" t="str">
        <f t="shared" si="0"/>
        <v>PANKAJ MISHRA</v>
      </c>
      <c r="Q48" t="str">
        <f t="shared" si="1"/>
        <v>pankaj.mishra@mail.in</v>
      </c>
      <c r="R48" t="str">
        <f t="shared" si="2"/>
        <v>Digital Marketing</v>
      </c>
      <c r="S48" t="str">
        <f t="shared" si="3"/>
        <v>PANKAJ mishra</v>
      </c>
      <c r="T48" t="str">
        <f t="shared" si="4"/>
        <v xml:space="preserve">  DURGAPUR  </v>
      </c>
      <c r="U48" t="str">
        <f t="shared" si="5"/>
        <v>active</v>
      </c>
      <c r="V48" t="str">
        <f t="shared" si="6"/>
        <v>Good Participation</v>
      </c>
      <c r="W48" t="str">
        <f t="shared" si="7"/>
        <v>Durgapur</v>
      </c>
      <c r="X48" t="str">
        <f t="shared" si="8"/>
        <v>STU047</v>
      </c>
      <c r="Y48" t="str">
        <f t="shared" si="9"/>
        <v>Good participation</v>
      </c>
      <c r="Z48" t="str">
        <f t="shared" si="10"/>
        <v>stu047-PANKAJ mishra</v>
      </c>
      <c r="AA48" t="str">
        <f t="shared" si="11"/>
        <v>PANKAJ mishra-digital MARKETING</v>
      </c>
      <c r="AB48" t="str">
        <f t="shared" si="12"/>
        <v>pankaj.mishra@mail.in|9876543256</v>
      </c>
      <c r="AC48" t="str">
        <f t="shared" si="13"/>
        <v xml:space="preserve">  Durgapur  , digital MARKETING</v>
      </c>
      <c r="AD48" t="str">
        <f t="shared" si="14"/>
        <v>Student ID: stu047</v>
      </c>
      <c r="AE48" t="str">
        <f t="shared" si="15"/>
        <v>stu</v>
      </c>
      <c r="AF48" t="str">
        <f t="shared" si="16"/>
        <v>pankaj</v>
      </c>
      <c r="AG48" t="str">
        <f t="shared" si="17"/>
        <v>3256</v>
      </c>
      <c r="AH48" t="str">
        <f t="shared" si="18"/>
        <v>047</v>
      </c>
      <c r="AI48" t="str">
        <f t="shared" si="19"/>
        <v>digital</v>
      </c>
      <c r="AJ48" t="str">
        <f t="shared" si="20"/>
        <v xml:space="preserve">  Dur</v>
      </c>
      <c r="AK48" t="str">
        <f t="shared" si="21"/>
        <v>3256</v>
      </c>
      <c r="AL48" t="str">
        <f t="shared" si="22"/>
        <v>PANKAJ mis</v>
      </c>
      <c r="AM48" t="str">
        <f t="shared" si="23"/>
        <v>47</v>
      </c>
      <c r="AN48" t="str">
        <f t="shared" si="24"/>
        <v>pankaj.m</v>
      </c>
      <c r="AO48">
        <f t="shared" si="25"/>
        <v>233</v>
      </c>
      <c r="AP48">
        <f t="shared" si="26"/>
        <v>77.666666666666671</v>
      </c>
      <c r="AY48" t="str">
        <f t="shared" si="27"/>
        <v>pass</v>
      </c>
      <c r="AZ48" t="str">
        <f t="shared" si="28"/>
        <v>Low</v>
      </c>
      <c r="BA48" t="str">
        <f t="shared" si="29"/>
        <v>Pending</v>
      </c>
      <c r="BB48" t="str">
        <f t="shared" si="30"/>
        <v>Good</v>
      </c>
      <c r="BC48" t="str">
        <f t="shared" si="31"/>
        <v>Active student</v>
      </c>
      <c r="BD48" t="str">
        <f t="shared" si="32"/>
        <v>Good</v>
      </c>
      <c r="BE48" t="str">
        <f t="shared" si="33"/>
        <v>Grade B</v>
      </c>
      <c r="BF48" t="str">
        <f t="shared" si="34"/>
        <v>Partial</v>
      </c>
      <c r="BG48" t="str">
        <f t="shared" si="35"/>
        <v>Medium</v>
      </c>
      <c r="BH48" t="str">
        <f t="shared" si="36"/>
        <v>Eligible</v>
      </c>
      <c r="BI48" t="str">
        <f t="shared" si="37"/>
        <v>No Scholarship</v>
      </c>
      <c r="BJ48" t="str">
        <f t="shared" si="38"/>
        <v>Promoted</v>
      </c>
      <c r="BK48" t="str">
        <f t="shared" si="39"/>
        <v>Good Standing</v>
      </c>
      <c r="BL48" t="str">
        <f t="shared" si="40"/>
        <v>Action needed</v>
      </c>
      <c r="BM48" t="str">
        <f t="shared" si="41"/>
        <v>Payment incompleted</v>
      </c>
    </row>
    <row r="49" spans="1:65" x14ac:dyDescent="0.3">
      <c r="A49" t="s">
        <v>362</v>
      </c>
      <c r="B49" t="s">
        <v>363</v>
      </c>
      <c r="C49" t="s">
        <v>364</v>
      </c>
      <c r="D49" t="s">
        <v>365</v>
      </c>
      <c r="E49" t="s">
        <v>78</v>
      </c>
      <c r="F49" t="s">
        <v>366</v>
      </c>
      <c r="G49">
        <v>62</v>
      </c>
      <c r="H49">
        <v>65</v>
      </c>
      <c r="I49">
        <v>68</v>
      </c>
      <c r="J49">
        <v>62</v>
      </c>
      <c r="K49">
        <v>27000</v>
      </c>
      <c r="L49">
        <v>35000</v>
      </c>
      <c r="M49" t="s">
        <v>367</v>
      </c>
      <c r="N49" t="s">
        <v>40</v>
      </c>
      <c r="O49" t="s">
        <v>368</v>
      </c>
      <c r="P49" t="str">
        <f t="shared" si="0"/>
        <v xml:space="preserve">  USHA REDDY</v>
      </c>
      <c r="Q49" t="str">
        <f t="shared" si="1"/>
        <v>usha.reddy@email.com</v>
      </c>
      <c r="R49" t="str">
        <f t="shared" si="2"/>
        <v>Graphic Design</v>
      </c>
      <c r="S49" t="str">
        <f t="shared" si="3"/>
        <v>usha REDDY</v>
      </c>
      <c r="T49" t="str">
        <f t="shared" si="4"/>
        <v>ASANSOL</v>
      </c>
      <c r="U49" t="str">
        <f t="shared" si="5"/>
        <v>active</v>
      </c>
      <c r="V49" t="str">
        <f t="shared" si="6"/>
        <v>Needs Guidance</v>
      </c>
      <c r="W49" t="str">
        <f t="shared" si="7"/>
        <v>Asansol</v>
      </c>
      <c r="X49" t="str">
        <f t="shared" si="8"/>
        <v>STU048</v>
      </c>
      <c r="Y49" t="str">
        <f t="shared" si="9"/>
        <v>Needs guidance</v>
      </c>
      <c r="Z49" t="str">
        <f t="shared" si="10"/>
        <v>Stu048-  usha REDDY</v>
      </c>
      <c r="AA49" t="str">
        <f t="shared" si="11"/>
        <v xml:space="preserve">  usha REDDY-GRAPHIC design</v>
      </c>
      <c r="AB49" t="str">
        <f t="shared" si="12"/>
        <v>usha.reddy@email.com|9876543257</v>
      </c>
      <c r="AC49" t="str">
        <f t="shared" si="13"/>
        <v>Asansol, GRAPHIC design</v>
      </c>
      <c r="AD49" t="str">
        <f t="shared" si="14"/>
        <v>Student ID: Stu048</v>
      </c>
      <c r="AE49" t="str">
        <f t="shared" si="15"/>
        <v>Stu</v>
      </c>
      <c r="AF49" t="str">
        <f t="shared" si="16"/>
        <v>usha.r</v>
      </c>
      <c r="AG49" t="str">
        <f t="shared" si="17"/>
        <v>3257</v>
      </c>
      <c r="AH49" t="str">
        <f t="shared" si="18"/>
        <v>048</v>
      </c>
      <c r="AI49" t="str">
        <f t="shared" si="19"/>
        <v>GRAPHIC</v>
      </c>
      <c r="AJ49" t="str">
        <f t="shared" si="20"/>
        <v>Asans</v>
      </c>
      <c r="AK49" t="str">
        <f t="shared" si="21"/>
        <v>3257</v>
      </c>
      <c r="AL49" t="str">
        <f t="shared" si="22"/>
        <v xml:space="preserve">  usha RED</v>
      </c>
      <c r="AM49" t="str">
        <f t="shared" si="23"/>
        <v>48</v>
      </c>
      <c r="AN49" t="str">
        <f t="shared" si="24"/>
        <v>usha.red</v>
      </c>
      <c r="AO49">
        <f t="shared" si="25"/>
        <v>195</v>
      </c>
      <c r="AP49">
        <f t="shared" si="26"/>
        <v>65</v>
      </c>
      <c r="AY49" t="str">
        <f t="shared" si="27"/>
        <v>pass</v>
      </c>
      <c r="AZ49" t="str">
        <f t="shared" si="28"/>
        <v>Low</v>
      </c>
      <c r="BA49" t="str">
        <f t="shared" si="29"/>
        <v>Pending</v>
      </c>
      <c r="BB49" t="str">
        <f t="shared" si="30"/>
        <v>Average</v>
      </c>
      <c r="BC49" t="str">
        <f t="shared" si="31"/>
        <v>Active student</v>
      </c>
      <c r="BD49" t="str">
        <f t="shared" si="32"/>
        <v>Average</v>
      </c>
      <c r="BE49" t="str">
        <f t="shared" si="33"/>
        <v>Grade C</v>
      </c>
      <c r="BF49" t="str">
        <f t="shared" si="34"/>
        <v>Partial</v>
      </c>
      <c r="BG49" t="str">
        <f t="shared" si="35"/>
        <v>Low</v>
      </c>
      <c r="BH49" t="str">
        <f t="shared" si="36"/>
        <v>Not Eligible</v>
      </c>
      <c r="BI49" t="str">
        <f t="shared" si="37"/>
        <v>No Scholarship</v>
      </c>
      <c r="BJ49" t="str">
        <f t="shared" si="38"/>
        <v>Promoted</v>
      </c>
      <c r="BK49" t="str">
        <f t="shared" si="39"/>
        <v>Review</v>
      </c>
      <c r="BL49" t="str">
        <f t="shared" si="40"/>
        <v>Action needed</v>
      </c>
      <c r="BM49" t="str">
        <f t="shared" si="41"/>
        <v>Payment incompleted</v>
      </c>
    </row>
    <row r="50" spans="1:65" x14ac:dyDescent="0.3">
      <c r="A50" t="s">
        <v>369</v>
      </c>
      <c r="B50" t="s">
        <v>370</v>
      </c>
      <c r="C50" t="s">
        <v>371</v>
      </c>
      <c r="D50" t="s">
        <v>372</v>
      </c>
      <c r="E50" t="s">
        <v>117</v>
      </c>
      <c r="F50" t="s">
        <v>373</v>
      </c>
      <c r="G50">
        <v>88</v>
      </c>
      <c r="H50">
        <v>90</v>
      </c>
      <c r="I50">
        <v>85</v>
      </c>
      <c r="J50">
        <v>88</v>
      </c>
      <c r="K50">
        <v>48000</v>
      </c>
      <c r="L50">
        <v>50000</v>
      </c>
      <c r="M50" t="s">
        <v>374</v>
      </c>
      <c r="N50" t="s">
        <v>31</v>
      </c>
      <c r="O50" t="s">
        <v>375</v>
      </c>
      <c r="P50" t="str">
        <f t="shared" si="0"/>
        <v xml:space="preserve">RAVI KAPOOR  </v>
      </c>
      <c r="Q50" t="str">
        <f t="shared" si="1"/>
        <v>ravi_kapoor@mail.in</v>
      </c>
      <c r="R50" t="str">
        <f t="shared" si="2"/>
        <v>Data Science</v>
      </c>
      <c r="S50" t="str">
        <f t="shared" si="3"/>
        <v>ravi KAPOOR</v>
      </c>
      <c r="T50" t="str">
        <f t="shared" si="4"/>
        <v xml:space="preserve">  JAMMU  </v>
      </c>
      <c r="U50" t="str">
        <f t="shared" si="5"/>
        <v>active</v>
      </c>
      <c r="V50" t="str">
        <f t="shared" si="6"/>
        <v>Excellent Performer</v>
      </c>
      <c r="W50" t="str">
        <f t="shared" si="7"/>
        <v>Jammu</v>
      </c>
      <c r="X50" t="str">
        <f t="shared" si="8"/>
        <v>STU049</v>
      </c>
      <c r="Y50" t="str">
        <f t="shared" si="9"/>
        <v>Excellent performer</v>
      </c>
      <c r="Z50" t="str">
        <f t="shared" si="10"/>
        <v xml:space="preserve">STU049-ravi KAPOOR  </v>
      </c>
      <c r="AA50" t="str">
        <f t="shared" si="11"/>
        <v>ravi KAPOOR  -data science</v>
      </c>
      <c r="AB50" t="str">
        <f t="shared" si="12"/>
        <v>ravi_kapoor@mail.in|9876543258</v>
      </c>
      <c r="AC50" t="str">
        <f t="shared" si="13"/>
        <v xml:space="preserve">  Jammu  , data science</v>
      </c>
      <c r="AD50" t="str">
        <f t="shared" si="14"/>
        <v>Student ID: STU049</v>
      </c>
      <c r="AE50" t="str">
        <f t="shared" si="15"/>
        <v>STU</v>
      </c>
      <c r="AF50" t="str">
        <f t="shared" si="16"/>
        <v>ravi_k</v>
      </c>
      <c r="AG50" t="str">
        <f t="shared" si="17"/>
        <v>3258</v>
      </c>
      <c r="AH50" t="str">
        <f t="shared" si="18"/>
        <v>049</v>
      </c>
      <c r="AI50" t="str">
        <f t="shared" si="19"/>
        <v>data sc</v>
      </c>
      <c r="AJ50" t="str">
        <f t="shared" si="20"/>
        <v xml:space="preserve">  Jam</v>
      </c>
      <c r="AK50" t="str">
        <f t="shared" si="21"/>
        <v>3258</v>
      </c>
      <c r="AL50" t="str">
        <f t="shared" si="22"/>
        <v>ravi KAPOO</v>
      </c>
      <c r="AM50" t="str">
        <f t="shared" si="23"/>
        <v>49</v>
      </c>
      <c r="AN50" t="str">
        <f t="shared" si="24"/>
        <v>ravi_kap</v>
      </c>
      <c r="AO50">
        <f t="shared" si="25"/>
        <v>263</v>
      </c>
      <c r="AP50">
        <f t="shared" si="26"/>
        <v>87.666666666666671</v>
      </c>
      <c r="AY50" t="str">
        <f t="shared" si="27"/>
        <v>pass</v>
      </c>
      <c r="AZ50" t="str">
        <f t="shared" si="28"/>
        <v>High</v>
      </c>
      <c r="BA50" t="str">
        <f t="shared" si="29"/>
        <v>Pending</v>
      </c>
      <c r="BB50" t="str">
        <f t="shared" si="30"/>
        <v>Good</v>
      </c>
      <c r="BC50" t="str">
        <f t="shared" si="31"/>
        <v>Active student</v>
      </c>
      <c r="BD50" t="str">
        <f t="shared" si="32"/>
        <v>Excellent</v>
      </c>
      <c r="BE50" t="str">
        <f t="shared" si="33"/>
        <v>Grade B</v>
      </c>
      <c r="BF50" t="str">
        <f t="shared" si="34"/>
        <v>Partial</v>
      </c>
      <c r="BG50" t="str">
        <f t="shared" si="35"/>
        <v>High</v>
      </c>
      <c r="BH50" t="str">
        <f t="shared" si="36"/>
        <v>Eligible</v>
      </c>
      <c r="BI50" t="str">
        <f t="shared" si="37"/>
        <v>No Scholarship</v>
      </c>
      <c r="BJ50" t="str">
        <f t="shared" si="38"/>
        <v>Promoted</v>
      </c>
      <c r="BK50" t="str">
        <f t="shared" si="39"/>
        <v>Good Standing</v>
      </c>
      <c r="BL50" t="str">
        <f t="shared" si="40"/>
        <v>Action needed</v>
      </c>
      <c r="BM50" t="str">
        <f t="shared" si="41"/>
        <v>Payment incompleted</v>
      </c>
    </row>
    <row r="51" spans="1:65" x14ac:dyDescent="0.3">
      <c r="A51" t="s">
        <v>376</v>
      </c>
      <c r="B51" t="s">
        <v>377</v>
      </c>
      <c r="C51" t="s">
        <v>378</v>
      </c>
      <c r="D51" t="s">
        <v>379</v>
      </c>
      <c r="E51" t="s">
        <v>211</v>
      </c>
      <c r="F51" t="s">
        <v>380</v>
      </c>
      <c r="G51">
        <v>68</v>
      </c>
      <c r="H51">
        <v>70</v>
      </c>
      <c r="I51">
        <v>72</v>
      </c>
      <c r="J51">
        <v>68</v>
      </c>
      <c r="K51">
        <v>36000</v>
      </c>
      <c r="L51">
        <v>40000</v>
      </c>
      <c r="M51" t="s">
        <v>381</v>
      </c>
      <c r="N51" t="s">
        <v>22</v>
      </c>
      <c r="O51" t="s">
        <v>382</v>
      </c>
      <c r="P51" t="str">
        <f t="shared" si="0"/>
        <v>SHWETA BAJAJ</v>
      </c>
      <c r="Q51" t="str">
        <f t="shared" si="1"/>
        <v>shweta.bajaj@email.com</v>
      </c>
      <c r="R51" t="str">
        <f t="shared" si="2"/>
        <v>Web Development</v>
      </c>
      <c r="S51" t="str">
        <f t="shared" si="3"/>
        <v>SHWETA bajaj</v>
      </c>
      <c r="T51" t="str">
        <f t="shared" si="4"/>
        <v>SRINAGAR</v>
      </c>
      <c r="U51" t="str">
        <f t="shared" si="5"/>
        <v>active</v>
      </c>
      <c r="V51" t="str">
        <f t="shared" si="6"/>
        <v xml:space="preserve">  Steady Learner  </v>
      </c>
      <c r="W51" t="str">
        <f t="shared" si="7"/>
        <v>Srinagar</v>
      </c>
      <c r="X51" t="str">
        <f t="shared" si="8"/>
        <v>STU050</v>
      </c>
      <c r="Y51" t="str">
        <f t="shared" si="9"/>
        <v>Steady learner</v>
      </c>
      <c r="Z51" t="str">
        <f t="shared" si="10"/>
        <v>stu050-SHWETA bajaj</v>
      </c>
      <c r="AA51" t="str">
        <f t="shared" si="11"/>
        <v>SHWETA bajaj-WEB DEVELOPMENT</v>
      </c>
      <c r="AB51" t="str">
        <f t="shared" si="12"/>
        <v>shweta.bajaj@email.com|9876543259</v>
      </c>
      <c r="AC51" t="str">
        <f t="shared" si="13"/>
        <v>Srinagar, WEB DEVELOPMENT</v>
      </c>
      <c r="AD51" t="str">
        <f t="shared" si="14"/>
        <v>Student ID: stu050</v>
      </c>
      <c r="AE51" t="str">
        <f t="shared" si="15"/>
        <v>stu</v>
      </c>
      <c r="AF51" t="str">
        <f t="shared" si="16"/>
        <v>shweta</v>
      </c>
      <c r="AG51" t="str">
        <f t="shared" si="17"/>
        <v>3259</v>
      </c>
      <c r="AH51" t="str">
        <f t="shared" si="18"/>
        <v>050</v>
      </c>
      <c r="AI51" t="str">
        <f t="shared" si="19"/>
        <v>WEB DEV</v>
      </c>
      <c r="AJ51" t="str">
        <f t="shared" si="20"/>
        <v>Srina</v>
      </c>
      <c r="AK51" t="str">
        <f t="shared" si="21"/>
        <v>3259</v>
      </c>
      <c r="AL51" t="str">
        <f t="shared" si="22"/>
        <v>SHWETA baj</v>
      </c>
      <c r="AM51" t="str">
        <f t="shared" si="23"/>
        <v>50</v>
      </c>
      <c r="AN51" t="str">
        <f t="shared" si="24"/>
        <v>shweta.b</v>
      </c>
      <c r="AO51">
        <f t="shared" si="25"/>
        <v>210</v>
      </c>
      <c r="AP51">
        <f t="shared" si="26"/>
        <v>70</v>
      </c>
      <c r="AY51" t="str">
        <f t="shared" si="27"/>
        <v>pass</v>
      </c>
      <c r="AZ51" t="str">
        <f t="shared" si="28"/>
        <v>Low</v>
      </c>
      <c r="BA51" t="str">
        <f t="shared" si="29"/>
        <v>Pending</v>
      </c>
      <c r="BB51" t="str">
        <f t="shared" si="30"/>
        <v>Average</v>
      </c>
      <c r="BC51" t="str">
        <f t="shared" si="31"/>
        <v>Active student</v>
      </c>
      <c r="BD51" t="str">
        <f t="shared" si="32"/>
        <v>Good</v>
      </c>
      <c r="BE51" t="str">
        <f t="shared" si="33"/>
        <v>Grade C</v>
      </c>
      <c r="BF51" t="str">
        <f t="shared" si="34"/>
        <v>Partial</v>
      </c>
      <c r="BG51" t="str">
        <f t="shared" si="35"/>
        <v>Low</v>
      </c>
      <c r="BH51" t="str">
        <f t="shared" si="36"/>
        <v>Not Eligible</v>
      </c>
      <c r="BI51" t="str">
        <f t="shared" si="37"/>
        <v>No Scholarship</v>
      </c>
      <c r="BJ51" t="str">
        <f t="shared" si="38"/>
        <v>Promoted</v>
      </c>
      <c r="BK51" t="str">
        <f t="shared" si="39"/>
        <v>Review</v>
      </c>
      <c r="BL51" t="str">
        <f t="shared" si="40"/>
        <v>Action needed</v>
      </c>
      <c r="BM51" t="str">
        <f t="shared" si="41"/>
        <v>Payment incompleted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krunal patel</cp:lastModifiedBy>
  <dcterms:created xsi:type="dcterms:W3CDTF">2026-03-13T12:15:39Z</dcterms:created>
  <dcterms:modified xsi:type="dcterms:W3CDTF">2026-03-13T19:51:20Z</dcterms:modified>
</cp:coreProperties>
</file>